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universidadedecoimbra154-my.sharepoint.com/personal/uc2018147793_student_uc_pt/Documents/PhD/Unraveling the Rainbow/Code/results/greedy/"/>
    </mc:Choice>
  </mc:AlternateContent>
  <xr:revisionPtr revIDLastSave="94" documentId="13_ncr:1_{838B32AD-8632-4175-A6F7-A85D55F3BFA1}" xr6:coauthVersionLast="47" xr6:coauthVersionMax="47" xr10:uidLastSave="{2C9261D1-B109-4343-B337-ECECB047F3B7}"/>
  <bookViews>
    <workbookView xWindow="-96" yWindow="-96" windowWidth="20928" windowHeight="12432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1" l="1"/>
  <c r="A19" i="1"/>
  <c r="A38" i="1"/>
  <c r="I38" i="1"/>
  <c r="B31" i="1"/>
  <c r="C31" i="1"/>
  <c r="D31" i="1"/>
  <c r="E31" i="1"/>
  <c r="F31" i="1"/>
  <c r="G31" i="1"/>
  <c r="H31" i="1"/>
  <c r="I31" i="1"/>
  <c r="J31" i="1"/>
  <c r="K31" i="1"/>
  <c r="L31" i="1"/>
  <c r="B32" i="1"/>
  <c r="C32" i="1"/>
  <c r="D32" i="1"/>
  <c r="E32" i="1"/>
  <c r="F32" i="1"/>
  <c r="G32" i="1"/>
  <c r="H32" i="1"/>
  <c r="I32" i="1"/>
  <c r="J32" i="1"/>
  <c r="K32" i="1"/>
  <c r="L32" i="1"/>
  <c r="B33" i="1"/>
  <c r="C33" i="1"/>
  <c r="D33" i="1"/>
  <c r="E33" i="1"/>
  <c r="F33" i="1"/>
  <c r="G33" i="1"/>
  <c r="H33" i="1"/>
  <c r="I33" i="1"/>
  <c r="J33" i="1"/>
  <c r="K33" i="1"/>
  <c r="L33" i="1"/>
  <c r="B34" i="1"/>
  <c r="C34" i="1"/>
  <c r="D34" i="1"/>
  <c r="E34" i="1"/>
  <c r="F34" i="1"/>
  <c r="G34" i="1"/>
  <c r="H34" i="1"/>
  <c r="I34" i="1"/>
  <c r="J34" i="1"/>
  <c r="K34" i="1"/>
  <c r="L34" i="1"/>
  <c r="B35" i="1"/>
  <c r="C35" i="1"/>
  <c r="D35" i="1"/>
  <c r="E35" i="1"/>
  <c r="F35" i="1"/>
  <c r="G35" i="1"/>
  <c r="H35" i="1"/>
  <c r="I35" i="1"/>
  <c r="J35" i="1"/>
  <c r="K35" i="1"/>
  <c r="L35" i="1"/>
  <c r="A25" i="1"/>
  <c r="A26" i="1"/>
  <c r="A27" i="1"/>
  <c r="A28" i="1"/>
  <c r="A29" i="1"/>
  <c r="A30" i="1"/>
  <c r="A31" i="1"/>
  <c r="A32" i="1"/>
  <c r="A33" i="1"/>
  <c r="A34" i="1"/>
  <c r="A35" i="1"/>
  <c r="A22" i="1"/>
  <c r="A23" i="1"/>
  <c r="A24" i="1"/>
  <c r="A21" i="1"/>
  <c r="B18" i="1"/>
  <c r="C18" i="1"/>
  <c r="D18" i="1"/>
  <c r="E18" i="1"/>
  <c r="F18" i="1"/>
  <c r="G18" i="1"/>
  <c r="H18" i="1"/>
  <c r="I18" i="1"/>
  <c r="J18" i="1"/>
  <c r="K18" i="1"/>
  <c r="L18" i="1"/>
  <c r="A18" i="1"/>
  <c r="O18" i="1"/>
  <c r="L30" i="1"/>
  <c r="L29" i="1"/>
  <c r="L28" i="1"/>
  <c r="L27" i="1"/>
  <c r="L26" i="1"/>
  <c r="L25" i="1"/>
  <c r="L24" i="1"/>
  <c r="L23" i="1"/>
  <c r="L22" i="1"/>
  <c r="L21" i="1"/>
  <c r="K30" i="1"/>
  <c r="K29" i="1"/>
  <c r="K28" i="1"/>
  <c r="K27" i="1"/>
  <c r="K26" i="1"/>
  <c r="K25" i="1"/>
  <c r="K24" i="1"/>
  <c r="K23" i="1"/>
  <c r="K22" i="1"/>
  <c r="K21" i="1"/>
  <c r="J30" i="1"/>
  <c r="J29" i="1"/>
  <c r="J28" i="1"/>
  <c r="J27" i="1"/>
  <c r="J26" i="1"/>
  <c r="J25" i="1"/>
  <c r="J24" i="1"/>
  <c r="J23" i="1"/>
  <c r="J22" i="1"/>
  <c r="J21" i="1"/>
  <c r="I30" i="1"/>
  <c r="H30" i="1"/>
  <c r="G30" i="1"/>
  <c r="F30" i="1"/>
  <c r="E30" i="1"/>
  <c r="D30" i="1"/>
  <c r="C30" i="1"/>
  <c r="B30" i="1"/>
  <c r="I29" i="1"/>
  <c r="H29" i="1"/>
  <c r="G29" i="1"/>
  <c r="F29" i="1"/>
  <c r="E29" i="1"/>
  <c r="D29" i="1"/>
  <c r="C29" i="1"/>
  <c r="B29" i="1"/>
  <c r="I28" i="1"/>
  <c r="H28" i="1"/>
  <c r="G28" i="1"/>
  <c r="F28" i="1"/>
  <c r="E28" i="1"/>
  <c r="D28" i="1"/>
  <c r="C28" i="1"/>
  <c r="B28" i="1"/>
  <c r="I27" i="1"/>
  <c r="H27" i="1"/>
  <c r="G27" i="1"/>
  <c r="F27" i="1"/>
  <c r="E27" i="1"/>
  <c r="D27" i="1"/>
  <c r="C27" i="1"/>
  <c r="B27" i="1"/>
  <c r="I26" i="1"/>
  <c r="H26" i="1"/>
  <c r="G26" i="1"/>
  <c r="F26" i="1"/>
  <c r="E26" i="1"/>
  <c r="D26" i="1"/>
  <c r="C26" i="1"/>
  <c r="B26" i="1"/>
  <c r="I25" i="1"/>
  <c r="H25" i="1"/>
  <c r="G25" i="1"/>
  <c r="F25" i="1"/>
  <c r="E25" i="1"/>
  <c r="D25" i="1"/>
  <c r="C25" i="1"/>
  <c r="B25" i="1"/>
  <c r="I24" i="1"/>
  <c r="H24" i="1"/>
  <c r="G24" i="1"/>
  <c r="F24" i="1"/>
  <c r="E24" i="1"/>
  <c r="D24" i="1"/>
  <c r="C24" i="1"/>
  <c r="B24" i="1"/>
  <c r="I23" i="1"/>
  <c r="H23" i="1"/>
  <c r="G23" i="1"/>
  <c r="F23" i="1"/>
  <c r="E23" i="1"/>
  <c r="D23" i="1"/>
  <c r="C23" i="1"/>
  <c r="B23" i="1"/>
  <c r="I22" i="1"/>
  <c r="H22" i="1"/>
  <c r="G22" i="1"/>
  <c r="F22" i="1"/>
  <c r="E22" i="1"/>
  <c r="D22" i="1"/>
  <c r="C22" i="1"/>
  <c r="B22" i="1"/>
  <c r="I21" i="1"/>
  <c r="H21" i="1"/>
  <c r="G21" i="1"/>
  <c r="F21" i="1"/>
  <c r="E21" i="1"/>
  <c r="D21" i="1"/>
  <c r="C21" i="1"/>
  <c r="B21" i="1"/>
  <c r="C37" i="1" l="1"/>
  <c r="K37" i="1"/>
  <c r="H37" i="1"/>
  <c r="F37" i="1"/>
  <c r="E37" i="1"/>
  <c r="D37" i="1"/>
  <c r="L37" i="1"/>
  <c r="J37" i="1"/>
  <c r="I37" i="1"/>
  <c r="G37" i="1"/>
  <c r="B37" i="1"/>
  <c r="A37" i="1"/>
  <c r="C40" i="1" l="1"/>
</calcChain>
</file>

<file path=xl/sharedStrings.xml><?xml version="1.0" encoding="utf-8"?>
<sst xmlns="http://schemas.openxmlformats.org/spreadsheetml/2006/main" count="13" uniqueCount="13">
  <si>
    <t>(6, 6) - DQN</t>
  </si>
  <si>
    <t>(6, 6) - DDQN</t>
  </si>
  <si>
    <t>(6, 6) - PER</t>
  </si>
  <si>
    <t>(6, 6) - Dueling</t>
  </si>
  <si>
    <t>(6, 6) - Noisy</t>
  </si>
  <si>
    <t>(6, 6) - Distributional</t>
  </si>
  <si>
    <t>(6, 6) - NStep</t>
  </si>
  <si>
    <t>(6, 6) - Rainbow</t>
  </si>
  <si>
    <t>(6, 6) – PPO</t>
  </si>
  <si>
    <t>6x6</t>
  </si>
  <si>
    <t>(6, 6) - A2C</t>
  </si>
  <si>
    <t>(6, 6) - REINFORCE</t>
  </si>
  <si>
    <t>(6, 6) - VMPO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</si>
</sst>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name val="Cambria"/>
      <charset val="1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2" fontId="0" fillId="0" borderId="0" xfId="0" applyNumberFormat="1"/>
    <xf numFmtId="0" fontId="3" fillId="0" borderId="1" xfId="1" applyFont="1" applyBorder="1" applyAlignment="1">
      <alignment horizontal="center" vertical="top"/>
    </xf>
  </cellXfs>
  <cellStyles count="2">
    <cellStyle name="Normal" xfId="0" builtinId="0"/>
    <cellStyle name="Normal 2" xfId="1" xr:uid="{AEC654B2-0F32-4064-A531-44CCE85F38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topLeftCell="A13" zoomScaleNormal="100" workbookViewId="0">
      <selection activeCell="N24" sqref="N24"/>
    </sheetView>
  </sheetViews>
  <sheetFormatPr defaultColWidth="8.5234375" defaultRowHeight="14.4" x14ac:dyDescent="0.55000000000000004"/>
  <sheetData>
    <row r="1" spans="1:1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10</v>
      </c>
      <c r="K1" s="3" t="s">
        <v>11</v>
      </c>
      <c r="L1" s="3" t="s">
        <v>12</v>
      </c>
    </row>
    <row r="2" spans="1:15" x14ac:dyDescent="0.55000000000000004">
      <c r="A2">
        <v>43</v>
      </c>
      <c r="B2">
        <v>42</v>
      </c>
      <c r="C2">
        <v>43</v>
      </c>
      <c r="D2">
        <v>42</v>
      </c>
      <c r="E2">
        <v>42</v>
      </c>
      <c r="F2">
        <v>42</v>
      </c>
      <c r="G2">
        <v>43</v>
      </c>
      <c r="H2">
        <v>43</v>
      </c>
      <c r="I2">
        <v>42</v>
      </c>
      <c r="J2">
        <v>45</v>
      </c>
      <c r="K2">
        <v>42</v>
      </c>
      <c r="L2">
        <v>44</v>
      </c>
      <c r="O2">
        <v>40</v>
      </c>
    </row>
    <row r="3" spans="1:15" x14ac:dyDescent="0.55000000000000004">
      <c r="A3">
        <v>37</v>
      </c>
      <c r="B3">
        <v>36</v>
      </c>
      <c r="C3">
        <v>37</v>
      </c>
      <c r="D3">
        <v>35</v>
      </c>
      <c r="E3">
        <v>36</v>
      </c>
      <c r="F3">
        <v>36</v>
      </c>
      <c r="G3">
        <v>35</v>
      </c>
      <c r="H3">
        <v>37</v>
      </c>
      <c r="I3">
        <v>36</v>
      </c>
      <c r="J3">
        <v>36</v>
      </c>
      <c r="K3">
        <v>37</v>
      </c>
      <c r="L3">
        <v>35</v>
      </c>
      <c r="O3">
        <v>26</v>
      </c>
    </row>
    <row r="4" spans="1:15" x14ac:dyDescent="0.55000000000000004">
      <c r="A4">
        <v>204</v>
      </c>
      <c r="B4">
        <v>204</v>
      </c>
      <c r="C4">
        <v>204</v>
      </c>
      <c r="D4">
        <v>204</v>
      </c>
      <c r="E4">
        <v>204</v>
      </c>
      <c r="F4">
        <v>204</v>
      </c>
      <c r="G4">
        <v>204</v>
      </c>
      <c r="H4">
        <v>204</v>
      </c>
      <c r="I4">
        <v>204</v>
      </c>
      <c r="J4">
        <v>204</v>
      </c>
      <c r="K4">
        <v>204</v>
      </c>
      <c r="L4">
        <v>204</v>
      </c>
      <c r="O4">
        <v>204</v>
      </c>
    </row>
    <row r="5" spans="1:15" x14ac:dyDescent="0.55000000000000004">
      <c r="A5">
        <v>68</v>
      </c>
      <c r="B5">
        <v>72</v>
      </c>
      <c r="C5">
        <v>70</v>
      </c>
      <c r="D5">
        <v>73</v>
      </c>
      <c r="E5">
        <v>70</v>
      </c>
      <c r="F5">
        <v>74</v>
      </c>
      <c r="G5">
        <v>71</v>
      </c>
      <c r="H5">
        <v>69</v>
      </c>
      <c r="I5">
        <v>69</v>
      </c>
      <c r="J5">
        <v>68</v>
      </c>
      <c r="K5">
        <v>74</v>
      </c>
      <c r="L5">
        <v>74</v>
      </c>
      <c r="O5">
        <v>60</v>
      </c>
    </row>
    <row r="6" spans="1:15" x14ac:dyDescent="0.55000000000000004">
      <c r="A6">
        <v>187</v>
      </c>
      <c r="B6">
        <v>183</v>
      </c>
      <c r="C6">
        <v>181</v>
      </c>
      <c r="D6">
        <v>195</v>
      </c>
      <c r="E6">
        <v>182</v>
      </c>
      <c r="F6">
        <v>182</v>
      </c>
      <c r="G6">
        <v>188</v>
      </c>
      <c r="H6">
        <v>180</v>
      </c>
      <c r="I6">
        <v>182</v>
      </c>
      <c r="J6">
        <v>188</v>
      </c>
      <c r="K6">
        <v>186</v>
      </c>
      <c r="L6">
        <v>183</v>
      </c>
      <c r="O6">
        <v>173</v>
      </c>
    </row>
    <row r="7" spans="1:15" x14ac:dyDescent="0.55000000000000004">
      <c r="A7">
        <v>88</v>
      </c>
      <c r="B7">
        <v>88</v>
      </c>
      <c r="C7">
        <v>86</v>
      </c>
      <c r="D7">
        <v>90</v>
      </c>
      <c r="E7">
        <v>89</v>
      </c>
      <c r="F7">
        <v>90</v>
      </c>
      <c r="G7">
        <v>87</v>
      </c>
      <c r="H7">
        <v>88</v>
      </c>
      <c r="I7">
        <v>87</v>
      </c>
      <c r="J7">
        <v>89</v>
      </c>
      <c r="K7">
        <v>88</v>
      </c>
      <c r="L7">
        <v>91</v>
      </c>
      <c r="O7">
        <v>58</v>
      </c>
    </row>
    <row r="8" spans="1:15" x14ac:dyDescent="0.55000000000000004">
      <c r="A8">
        <v>201</v>
      </c>
      <c r="B8">
        <v>204</v>
      </c>
      <c r="C8">
        <v>187</v>
      </c>
      <c r="D8">
        <v>186</v>
      </c>
      <c r="E8">
        <v>195</v>
      </c>
      <c r="F8">
        <v>192</v>
      </c>
      <c r="G8">
        <v>196</v>
      </c>
      <c r="H8">
        <v>195</v>
      </c>
      <c r="I8">
        <v>190</v>
      </c>
      <c r="J8">
        <v>201</v>
      </c>
      <c r="K8">
        <v>195</v>
      </c>
      <c r="L8">
        <v>191</v>
      </c>
      <c r="O8">
        <v>144</v>
      </c>
    </row>
    <row r="9" spans="1:15" x14ac:dyDescent="0.55000000000000004">
      <c r="A9">
        <v>523</v>
      </c>
      <c r="B9">
        <v>523</v>
      </c>
      <c r="C9">
        <v>523</v>
      </c>
      <c r="D9">
        <v>523</v>
      </c>
      <c r="E9">
        <v>523</v>
      </c>
      <c r="F9">
        <v>523</v>
      </c>
      <c r="G9">
        <v>523</v>
      </c>
      <c r="H9">
        <v>523</v>
      </c>
      <c r="I9">
        <v>523</v>
      </c>
      <c r="J9">
        <v>523</v>
      </c>
      <c r="K9">
        <v>523</v>
      </c>
      <c r="L9">
        <v>523</v>
      </c>
      <c r="O9">
        <v>523</v>
      </c>
    </row>
    <row r="10" spans="1:15" x14ac:dyDescent="0.55000000000000004">
      <c r="A10">
        <v>332</v>
      </c>
      <c r="B10">
        <v>327</v>
      </c>
      <c r="C10">
        <v>319</v>
      </c>
      <c r="D10">
        <v>327</v>
      </c>
      <c r="E10">
        <v>323</v>
      </c>
      <c r="F10">
        <v>324</v>
      </c>
      <c r="G10">
        <v>318</v>
      </c>
      <c r="H10">
        <v>316</v>
      </c>
      <c r="I10">
        <v>318</v>
      </c>
      <c r="J10">
        <v>336</v>
      </c>
      <c r="K10">
        <v>362</v>
      </c>
      <c r="L10">
        <v>351</v>
      </c>
      <c r="O10">
        <v>307</v>
      </c>
    </row>
    <row r="11" spans="1:15" x14ac:dyDescent="0.55000000000000004">
      <c r="A11">
        <v>252</v>
      </c>
      <c r="B11">
        <v>256</v>
      </c>
      <c r="C11">
        <v>260</v>
      </c>
      <c r="D11">
        <v>254</v>
      </c>
      <c r="E11">
        <v>258</v>
      </c>
      <c r="F11">
        <v>258</v>
      </c>
      <c r="G11">
        <v>251</v>
      </c>
      <c r="H11">
        <v>255</v>
      </c>
      <c r="I11">
        <v>253</v>
      </c>
      <c r="J11">
        <v>255</v>
      </c>
      <c r="K11">
        <v>257</v>
      </c>
      <c r="L11">
        <v>258</v>
      </c>
      <c r="O11">
        <v>198</v>
      </c>
    </row>
    <row r="12" spans="1:15" x14ac:dyDescent="0.55000000000000004">
      <c r="A12">
        <v>658</v>
      </c>
      <c r="B12">
        <v>651</v>
      </c>
      <c r="C12">
        <v>656</v>
      </c>
      <c r="D12">
        <v>685</v>
      </c>
      <c r="E12">
        <v>664</v>
      </c>
      <c r="F12">
        <v>649</v>
      </c>
      <c r="G12">
        <v>669</v>
      </c>
      <c r="H12">
        <v>635</v>
      </c>
      <c r="I12">
        <v>654</v>
      </c>
      <c r="J12">
        <v>659</v>
      </c>
      <c r="K12">
        <v>677</v>
      </c>
      <c r="L12">
        <v>650</v>
      </c>
      <c r="O12">
        <v>649</v>
      </c>
    </row>
    <row r="13" spans="1:15" x14ac:dyDescent="0.55000000000000004">
      <c r="A13">
        <v>524</v>
      </c>
      <c r="B13">
        <v>528</v>
      </c>
      <c r="C13">
        <v>524</v>
      </c>
      <c r="D13">
        <v>556</v>
      </c>
      <c r="E13">
        <v>524</v>
      </c>
      <c r="F13">
        <v>524</v>
      </c>
      <c r="G13">
        <v>554</v>
      </c>
      <c r="H13">
        <v>522</v>
      </c>
      <c r="I13">
        <v>533</v>
      </c>
      <c r="J13">
        <v>517</v>
      </c>
      <c r="K13">
        <v>534</v>
      </c>
      <c r="L13">
        <v>527</v>
      </c>
      <c r="O13">
        <v>518</v>
      </c>
    </row>
    <row r="14" spans="1:15" x14ac:dyDescent="0.55000000000000004">
      <c r="A14">
        <v>480</v>
      </c>
      <c r="B14">
        <v>462</v>
      </c>
      <c r="C14">
        <v>473</v>
      </c>
      <c r="D14">
        <v>456</v>
      </c>
      <c r="E14">
        <v>473</v>
      </c>
      <c r="F14">
        <v>462</v>
      </c>
      <c r="G14">
        <v>462</v>
      </c>
      <c r="H14">
        <v>473</v>
      </c>
      <c r="I14">
        <v>461</v>
      </c>
      <c r="J14">
        <v>458</v>
      </c>
      <c r="K14">
        <v>470</v>
      </c>
      <c r="L14">
        <v>469</v>
      </c>
      <c r="O14">
        <v>478</v>
      </c>
    </row>
    <row r="15" spans="1:15" x14ac:dyDescent="0.55000000000000004">
      <c r="A15">
        <v>723</v>
      </c>
      <c r="B15">
        <v>758</v>
      </c>
      <c r="C15">
        <v>694</v>
      </c>
      <c r="D15">
        <v>714</v>
      </c>
      <c r="E15">
        <v>711</v>
      </c>
      <c r="F15">
        <v>694</v>
      </c>
      <c r="G15">
        <v>694</v>
      </c>
      <c r="H15">
        <v>694</v>
      </c>
      <c r="I15">
        <v>694</v>
      </c>
      <c r="J15">
        <v>694</v>
      </c>
      <c r="K15">
        <v>782</v>
      </c>
      <c r="L15">
        <v>764</v>
      </c>
      <c r="O15">
        <v>694</v>
      </c>
    </row>
    <row r="16" spans="1:15" x14ac:dyDescent="0.55000000000000004">
      <c r="A16">
        <v>380</v>
      </c>
      <c r="B16">
        <v>382</v>
      </c>
      <c r="C16">
        <v>418</v>
      </c>
      <c r="D16">
        <v>390</v>
      </c>
      <c r="E16">
        <v>414</v>
      </c>
      <c r="F16">
        <v>398</v>
      </c>
      <c r="G16">
        <v>395</v>
      </c>
      <c r="H16">
        <v>392</v>
      </c>
      <c r="I16">
        <v>398</v>
      </c>
      <c r="J16">
        <v>398</v>
      </c>
      <c r="K16">
        <v>387</v>
      </c>
      <c r="L16">
        <v>389</v>
      </c>
      <c r="O16">
        <v>383</v>
      </c>
    </row>
    <row r="18" spans="1:15" x14ac:dyDescent="0.55000000000000004">
      <c r="A18" s="2">
        <f>AVERAGE(A2:A16)</f>
        <v>313.33333333333331</v>
      </c>
      <c r="B18" s="2">
        <f t="shared" ref="B18:L18" si="0">AVERAGE(B2:B16)</f>
        <v>314.39999999999998</v>
      </c>
      <c r="C18" s="2">
        <f t="shared" si="0"/>
        <v>311.66666666666669</v>
      </c>
      <c r="D18" s="2">
        <f t="shared" si="0"/>
        <v>315.33333333333331</v>
      </c>
      <c r="E18" s="2">
        <f t="shared" si="0"/>
        <v>313.86666666666667</v>
      </c>
      <c r="F18" s="2">
        <f t="shared" si="0"/>
        <v>310.13333333333333</v>
      </c>
      <c r="G18" s="2">
        <f t="shared" si="0"/>
        <v>312.66666666666669</v>
      </c>
      <c r="H18" s="2">
        <f t="shared" si="0"/>
        <v>308.39999999999998</v>
      </c>
      <c r="I18" s="2">
        <f t="shared" si="0"/>
        <v>309.60000000000002</v>
      </c>
      <c r="J18" s="2">
        <f t="shared" si="0"/>
        <v>311.39999999999998</v>
      </c>
      <c r="K18" s="2">
        <f t="shared" si="0"/>
        <v>321.2</v>
      </c>
      <c r="L18" s="2">
        <f t="shared" si="0"/>
        <v>316.86666666666667</v>
      </c>
      <c r="O18">
        <f>AVERAGE(O2:O16)</f>
        <v>297</v>
      </c>
    </row>
    <row r="19" spans="1:15" x14ac:dyDescent="0.55000000000000004">
      <c r="A19" s="2">
        <f>AVERAGE(A18:H18)</f>
        <v>312.47499999999997</v>
      </c>
      <c r="I19" s="2">
        <f>AVERAGE(I18:L18)</f>
        <v>314.76666666666665</v>
      </c>
    </row>
    <row r="21" spans="1:15" x14ac:dyDescent="0.55000000000000004">
      <c r="A21" s="2">
        <f>(A2-$O2)/$O2*100</f>
        <v>7.5</v>
      </c>
      <c r="B21" s="2">
        <f>(B2-$O2)/$O2*100</f>
        <v>5</v>
      </c>
      <c r="C21" s="2">
        <f>(C2-$O2)/$O2*100</f>
        <v>7.5</v>
      </c>
      <c r="D21" s="2">
        <f>(D2-$O2)/$O2*100</f>
        <v>5</v>
      </c>
      <c r="E21" s="2">
        <f>(E2-$O2)/$O2*100</f>
        <v>5</v>
      </c>
      <c r="F21" s="2">
        <f>(F2-$O2)/$O2*100</f>
        <v>5</v>
      </c>
      <c r="G21" s="2">
        <f>(G2-$O2)/$O2*100</f>
        <v>7.5</v>
      </c>
      <c r="H21" s="2">
        <f>(H2-$O2)/$O2*100</f>
        <v>7.5</v>
      </c>
      <c r="I21" s="2">
        <f>(I2-$O2)/$O2*100</f>
        <v>5</v>
      </c>
      <c r="J21" s="2">
        <f>(J2-$O2)/$O2*100</f>
        <v>12.5</v>
      </c>
      <c r="K21" s="2">
        <f>(K2-$O2)/$O2*100</f>
        <v>5</v>
      </c>
      <c r="L21" s="2">
        <f>(L2-$O2)/$O2*100</f>
        <v>10</v>
      </c>
    </row>
    <row r="22" spans="1:15" x14ac:dyDescent="0.55000000000000004">
      <c r="A22" s="2">
        <f>(A3-$O3)/$O3*100</f>
        <v>42.307692307692307</v>
      </c>
      <c r="B22" s="2">
        <f>(B3-$O3)/$O3*100</f>
        <v>38.461538461538467</v>
      </c>
      <c r="C22" s="2">
        <f>(C3-$O3)/$O3*100</f>
        <v>42.307692307692307</v>
      </c>
      <c r="D22" s="2">
        <f>(D3-$O3)/$O3*100</f>
        <v>34.615384615384613</v>
      </c>
      <c r="E22" s="2">
        <f>(E3-$O3)/$O3*100</f>
        <v>38.461538461538467</v>
      </c>
      <c r="F22" s="2">
        <f>(F3-$O3)/$O3*100</f>
        <v>38.461538461538467</v>
      </c>
      <c r="G22" s="2">
        <f>(G3-$O3)/$O3*100</f>
        <v>34.615384615384613</v>
      </c>
      <c r="H22" s="2">
        <f>(H3-$O3)/$O3*100</f>
        <v>42.307692307692307</v>
      </c>
      <c r="I22" s="2">
        <f>(I3-$O3)/$O3*100</f>
        <v>38.461538461538467</v>
      </c>
      <c r="J22" s="2">
        <f>(J3-$O3)/$O3*100</f>
        <v>38.461538461538467</v>
      </c>
      <c r="K22" s="2">
        <f>(K3-$O3)/$O3*100</f>
        <v>42.307692307692307</v>
      </c>
      <c r="L22" s="2">
        <f>(L3-$O3)/$O3*100</f>
        <v>34.615384615384613</v>
      </c>
    </row>
    <row r="23" spans="1:15" x14ac:dyDescent="0.55000000000000004">
      <c r="A23" s="2">
        <f>(A4-$O4)/$O4*100</f>
        <v>0</v>
      </c>
      <c r="B23" s="2">
        <f>(B4-$O4)/$O4*100</f>
        <v>0</v>
      </c>
      <c r="C23" s="2">
        <f>(C4-$O4)/$O4*100</f>
        <v>0</v>
      </c>
      <c r="D23" s="2">
        <f>(D4-$O4)/$O4*100</f>
        <v>0</v>
      </c>
      <c r="E23" s="2">
        <f>(E4-$O4)/$O4*100</f>
        <v>0</v>
      </c>
      <c r="F23" s="2">
        <f>(F4-$O4)/$O4*100</f>
        <v>0</v>
      </c>
      <c r="G23" s="2">
        <f>(G4-$O4)/$O4*100</f>
        <v>0</v>
      </c>
      <c r="H23" s="2">
        <f>(H4-$O4)/$O4*100</f>
        <v>0</v>
      </c>
      <c r="I23" s="2">
        <f>(I4-$O4)/$O4*100</f>
        <v>0</v>
      </c>
      <c r="J23" s="2">
        <f>(J4-$O4)/$O4*100</f>
        <v>0</v>
      </c>
      <c r="K23" s="2">
        <f>(K4-$O4)/$O4*100</f>
        <v>0</v>
      </c>
      <c r="L23" s="2">
        <f>(L4-$O4)/$O4*100</f>
        <v>0</v>
      </c>
    </row>
    <row r="24" spans="1:15" x14ac:dyDescent="0.55000000000000004">
      <c r="A24" s="2">
        <f>(A5-$O5)/$O5*100</f>
        <v>13.333333333333334</v>
      </c>
      <c r="B24" s="2">
        <f>(B5-$O5)/$O5*100</f>
        <v>20</v>
      </c>
      <c r="C24" s="2">
        <f>(C5-$O5)/$O5*100</f>
        <v>16.666666666666664</v>
      </c>
      <c r="D24" s="2">
        <f>(D5-$O5)/$O5*100</f>
        <v>21.666666666666668</v>
      </c>
      <c r="E24" s="2">
        <f>(E5-$O5)/$O5*100</f>
        <v>16.666666666666664</v>
      </c>
      <c r="F24" s="2">
        <f>(F5-$O5)/$O5*100</f>
        <v>23.333333333333332</v>
      </c>
      <c r="G24" s="2">
        <f>(G5-$O5)/$O5*100</f>
        <v>18.333333333333332</v>
      </c>
      <c r="H24" s="2">
        <f>(H5-$O5)/$O5*100</f>
        <v>15</v>
      </c>
      <c r="I24" s="2">
        <f>(I5-$O5)/$O5*100</f>
        <v>15</v>
      </c>
      <c r="J24" s="2">
        <f>(J5-$O5)/$O5*100</f>
        <v>13.333333333333334</v>
      </c>
      <c r="K24" s="2">
        <f>(K5-$O5)/$O5*100</f>
        <v>23.333333333333332</v>
      </c>
      <c r="L24" s="2">
        <f>(L5-$O5)/$O5*100</f>
        <v>23.333333333333332</v>
      </c>
    </row>
    <row r="25" spans="1:15" x14ac:dyDescent="0.55000000000000004">
      <c r="A25" s="2">
        <f>(A6-$O6)/$O6*100</f>
        <v>8.0924855491329488</v>
      </c>
      <c r="B25" s="2">
        <f>(B6-$O6)/$O6*100</f>
        <v>5.7803468208092488</v>
      </c>
      <c r="C25" s="2">
        <f>(C6-$O6)/$O6*100</f>
        <v>4.6242774566473983</v>
      </c>
      <c r="D25" s="2">
        <f>(D6-$O6)/$O6*100</f>
        <v>12.716763005780345</v>
      </c>
      <c r="E25" s="2">
        <f>(E6-$O6)/$O6*100</f>
        <v>5.202312138728324</v>
      </c>
      <c r="F25" s="2">
        <f>(F6-$O6)/$O6*100</f>
        <v>5.202312138728324</v>
      </c>
      <c r="G25" s="2">
        <f>(G6-$O6)/$O6*100</f>
        <v>8.6705202312138727</v>
      </c>
      <c r="H25" s="2">
        <f>(H6-$O6)/$O6*100</f>
        <v>4.0462427745664744</v>
      </c>
      <c r="I25" s="2">
        <f>(I6-$O6)/$O6*100</f>
        <v>5.202312138728324</v>
      </c>
      <c r="J25" s="2">
        <f>(J6-$O6)/$O6*100</f>
        <v>8.6705202312138727</v>
      </c>
      <c r="K25" s="2">
        <f>(K6-$O6)/$O6*100</f>
        <v>7.5144508670520231</v>
      </c>
      <c r="L25" s="2">
        <f>(L6-$O6)/$O6*100</f>
        <v>5.7803468208092488</v>
      </c>
    </row>
    <row r="26" spans="1:15" x14ac:dyDescent="0.55000000000000004">
      <c r="A26" s="2">
        <f>(A7-$O7)/$O7*100</f>
        <v>51.724137931034484</v>
      </c>
      <c r="B26" s="2">
        <f>(B7-$O7)/$O7*100</f>
        <v>51.724137931034484</v>
      </c>
      <c r="C26" s="2">
        <f>(C7-$O7)/$O7*100</f>
        <v>48.275862068965516</v>
      </c>
      <c r="D26" s="2">
        <f>(D7-$O7)/$O7*100</f>
        <v>55.172413793103445</v>
      </c>
      <c r="E26" s="2">
        <f>(E7-$O7)/$O7*100</f>
        <v>53.448275862068961</v>
      </c>
      <c r="F26" s="2">
        <f>(F7-$O7)/$O7*100</f>
        <v>55.172413793103445</v>
      </c>
      <c r="G26" s="2">
        <f>(G7-$O7)/$O7*100</f>
        <v>50</v>
      </c>
      <c r="H26" s="2">
        <f>(H7-$O7)/$O7*100</f>
        <v>51.724137931034484</v>
      </c>
      <c r="I26" s="2">
        <f>(I7-$O7)/$O7*100</f>
        <v>50</v>
      </c>
      <c r="J26" s="2">
        <f>(J7-$O7)/$O7*100</f>
        <v>53.448275862068961</v>
      </c>
      <c r="K26" s="2">
        <f>(K7-$O7)/$O7*100</f>
        <v>51.724137931034484</v>
      </c>
      <c r="L26" s="2">
        <f>(L7-$O7)/$O7*100</f>
        <v>56.896551724137936</v>
      </c>
    </row>
    <row r="27" spans="1:15" x14ac:dyDescent="0.55000000000000004">
      <c r="A27" s="2">
        <f>(A8-$O8)/$O8*100</f>
        <v>39.583333333333329</v>
      </c>
      <c r="B27" s="2">
        <f>(B8-$O8)/$O8*100</f>
        <v>41.666666666666671</v>
      </c>
      <c r="C27" s="2">
        <f>(C8-$O8)/$O8*100</f>
        <v>29.861111111111111</v>
      </c>
      <c r="D27" s="2">
        <f>(D8-$O8)/$O8*100</f>
        <v>29.166666666666668</v>
      </c>
      <c r="E27" s="2">
        <f>(E8-$O8)/$O8*100</f>
        <v>35.416666666666671</v>
      </c>
      <c r="F27" s="2">
        <f>(F8-$O8)/$O8*100</f>
        <v>33.333333333333329</v>
      </c>
      <c r="G27" s="2">
        <f>(G8-$O8)/$O8*100</f>
        <v>36.111111111111107</v>
      </c>
      <c r="H27" s="2">
        <f>(H8-$O8)/$O8*100</f>
        <v>35.416666666666671</v>
      </c>
      <c r="I27" s="2">
        <f>(I8-$O8)/$O8*100</f>
        <v>31.944444444444443</v>
      </c>
      <c r="J27" s="2">
        <f>(J8-$O8)/$O8*100</f>
        <v>39.583333333333329</v>
      </c>
      <c r="K27" s="2">
        <f>(K8-$O8)/$O8*100</f>
        <v>35.416666666666671</v>
      </c>
      <c r="L27" s="2">
        <f>(L8-$O8)/$O8*100</f>
        <v>32.638888888888893</v>
      </c>
    </row>
    <row r="28" spans="1:15" x14ac:dyDescent="0.55000000000000004">
      <c r="A28" s="2">
        <f>(A9-$O9)/$O9*100</f>
        <v>0</v>
      </c>
      <c r="B28" s="2">
        <f>(B9-$O9)/$O9*100</f>
        <v>0</v>
      </c>
      <c r="C28" s="2">
        <f>(C9-$O9)/$O9*100</f>
        <v>0</v>
      </c>
      <c r="D28" s="2">
        <f>(D9-$O9)/$O9*100</f>
        <v>0</v>
      </c>
      <c r="E28" s="2">
        <f>(E9-$O9)/$O9*100</f>
        <v>0</v>
      </c>
      <c r="F28" s="2">
        <f>(F9-$O9)/$O9*100</f>
        <v>0</v>
      </c>
      <c r="G28" s="2">
        <f>(G9-$O9)/$O9*100</f>
        <v>0</v>
      </c>
      <c r="H28" s="2">
        <f>(H9-$O9)/$O9*100</f>
        <v>0</v>
      </c>
      <c r="I28" s="2">
        <f>(I9-$O9)/$O9*100</f>
        <v>0</v>
      </c>
      <c r="J28" s="2">
        <f>(J9-$O9)/$O9*100</f>
        <v>0</v>
      </c>
      <c r="K28" s="2">
        <f>(K9-$O9)/$O9*100</f>
        <v>0</v>
      </c>
      <c r="L28" s="2">
        <f>(L9-$O9)/$O9*100</f>
        <v>0</v>
      </c>
    </row>
    <row r="29" spans="1:15" x14ac:dyDescent="0.55000000000000004">
      <c r="A29" s="2">
        <f>(A10-$O10)/$O10*100</f>
        <v>8.1433224755700326</v>
      </c>
      <c r="B29" s="2">
        <f>(B10-$O10)/$O10*100</f>
        <v>6.5146579804560263</v>
      </c>
      <c r="C29" s="2">
        <f>(C10-$O10)/$O10*100</f>
        <v>3.9087947882736152</v>
      </c>
      <c r="D29" s="2">
        <f>(D10-$O10)/$O10*100</f>
        <v>6.5146579804560263</v>
      </c>
      <c r="E29" s="2">
        <f>(E10-$O10)/$O10*100</f>
        <v>5.2117263843648214</v>
      </c>
      <c r="F29" s="2">
        <f>(F10-$O10)/$O10*100</f>
        <v>5.5374592833876219</v>
      </c>
      <c r="G29" s="2">
        <f>(G10-$O10)/$O10*100</f>
        <v>3.5830618892508146</v>
      </c>
      <c r="H29" s="2">
        <f>(H10-$O10)/$O10*100</f>
        <v>2.9315960912052117</v>
      </c>
      <c r="I29" s="2">
        <f>(I10-$O10)/$O10*100</f>
        <v>3.5830618892508146</v>
      </c>
      <c r="J29" s="2">
        <f>(J10-$O10)/$O10*100</f>
        <v>9.4462540716612384</v>
      </c>
      <c r="K29" s="2">
        <f>(K10-$O10)/$O10*100</f>
        <v>17.915309446254071</v>
      </c>
      <c r="L29" s="2">
        <f>(L10-$O10)/$O10*100</f>
        <v>14.332247557003258</v>
      </c>
    </row>
    <row r="30" spans="1:15" x14ac:dyDescent="0.55000000000000004">
      <c r="A30" s="2">
        <f>(A11-$O11)/$O11*100</f>
        <v>27.27272727272727</v>
      </c>
      <c r="B30" s="2">
        <f>(B11-$O11)/$O11*100</f>
        <v>29.292929292929294</v>
      </c>
      <c r="C30" s="2">
        <f>(C11-$O11)/$O11*100</f>
        <v>31.313131313131315</v>
      </c>
      <c r="D30" s="2">
        <f>(D11-$O11)/$O11*100</f>
        <v>28.28282828282828</v>
      </c>
      <c r="E30" s="2">
        <f>(E11-$O11)/$O11*100</f>
        <v>30.303030303030305</v>
      </c>
      <c r="F30" s="2">
        <f>(F11-$O11)/$O11*100</f>
        <v>30.303030303030305</v>
      </c>
      <c r="G30" s="2">
        <f>(G11-$O11)/$O11*100</f>
        <v>26.767676767676768</v>
      </c>
      <c r="H30" s="2">
        <f>(H11-$O11)/$O11*100</f>
        <v>28.787878787878789</v>
      </c>
      <c r="I30" s="2">
        <f>(I11-$O11)/$O11*100</f>
        <v>27.777777777777779</v>
      </c>
      <c r="J30" s="2">
        <f>(J11-$O11)/$O11*100</f>
        <v>28.787878787878789</v>
      </c>
      <c r="K30" s="2">
        <f>(K11-$O11)/$O11*100</f>
        <v>29.797979797979796</v>
      </c>
      <c r="L30" s="2">
        <f>(L11-$O11)/$O11*100</f>
        <v>30.303030303030305</v>
      </c>
    </row>
    <row r="31" spans="1:15" x14ac:dyDescent="0.55000000000000004">
      <c r="A31" s="2">
        <f>(A12-$O12)/$O12*100</f>
        <v>1.386748844375963</v>
      </c>
      <c r="B31" s="2">
        <f>(B12-$O12)/$O12*100</f>
        <v>0.30816640986132515</v>
      </c>
      <c r="C31" s="2">
        <f>(C12-$O12)/$O12*100</f>
        <v>1.078582434514638</v>
      </c>
      <c r="D31" s="2">
        <f>(D12-$O12)/$O12*100</f>
        <v>5.5469953775038521</v>
      </c>
      <c r="E31" s="2">
        <f>(E12-$O12)/$O12*100</f>
        <v>2.3112480739599381</v>
      </c>
      <c r="F31" s="2">
        <f>(F12-$O12)/$O12*100</f>
        <v>0</v>
      </c>
      <c r="G31" s="2">
        <f>(G12-$O12)/$O12*100</f>
        <v>3.0816640986132513</v>
      </c>
      <c r="H31" s="2">
        <f>(H12-$O12)/$O12*100</f>
        <v>-2.157164869029276</v>
      </c>
      <c r="I31" s="2">
        <f>(I12-$O12)/$O12*100</f>
        <v>0.77041602465331283</v>
      </c>
      <c r="J31" s="2">
        <f>(J12-$O12)/$O12*100</f>
        <v>1.5408320493066257</v>
      </c>
      <c r="K31" s="2">
        <f>(K12-$O12)/$O12*100</f>
        <v>4.3143297380585519</v>
      </c>
      <c r="L31" s="2">
        <f>(L12-$O12)/$O12*100</f>
        <v>0.15408320493066258</v>
      </c>
    </row>
    <row r="32" spans="1:15" x14ac:dyDescent="0.55000000000000004">
      <c r="A32" s="2">
        <f>(A13-$O13)/$O13*100</f>
        <v>1.1583011583011582</v>
      </c>
      <c r="B32" s="2">
        <f>(B13-$O13)/$O13*100</f>
        <v>1.9305019305019304</v>
      </c>
      <c r="C32" s="2">
        <f>(C13-$O13)/$O13*100</f>
        <v>1.1583011583011582</v>
      </c>
      <c r="D32" s="2">
        <f>(D13-$O13)/$O13*100</f>
        <v>7.3359073359073363</v>
      </c>
      <c r="E32" s="2">
        <f>(E13-$O13)/$O13*100</f>
        <v>1.1583011583011582</v>
      </c>
      <c r="F32" s="2">
        <f>(F13-$O13)/$O13*100</f>
        <v>1.1583011583011582</v>
      </c>
      <c r="G32" s="2">
        <f>(G13-$O13)/$O13*100</f>
        <v>6.9498069498069501</v>
      </c>
      <c r="H32" s="2">
        <f>(H13-$O13)/$O13*100</f>
        <v>0.77220077220077221</v>
      </c>
      <c r="I32" s="2">
        <f>(I13-$O13)/$O13*100</f>
        <v>2.8957528957528957</v>
      </c>
      <c r="J32" s="2">
        <f>(J13-$O13)/$O13*100</f>
        <v>-0.19305019305019305</v>
      </c>
      <c r="K32" s="2">
        <f>(K13-$O13)/$O13*100</f>
        <v>3.0888030888030888</v>
      </c>
      <c r="L32" s="2">
        <f>(L13-$O13)/$O13*100</f>
        <v>1.7374517374517375</v>
      </c>
    </row>
    <row r="33" spans="1:12" x14ac:dyDescent="0.55000000000000004">
      <c r="A33" s="2">
        <f>(A14-$O14)/$O14*100</f>
        <v>0.41841004184100417</v>
      </c>
      <c r="B33" s="2">
        <f>(B14-$O14)/$O14*100</f>
        <v>-3.3472803347280333</v>
      </c>
      <c r="C33" s="2">
        <f>(C14-$O14)/$O14*100</f>
        <v>-1.0460251046025104</v>
      </c>
      <c r="D33" s="2">
        <f>(D14-$O14)/$O14*100</f>
        <v>-4.6025104602510458</v>
      </c>
      <c r="E33" s="2">
        <f>(E14-$O14)/$O14*100</f>
        <v>-1.0460251046025104</v>
      </c>
      <c r="F33" s="2">
        <f>(F14-$O14)/$O14*100</f>
        <v>-3.3472803347280333</v>
      </c>
      <c r="G33" s="2">
        <f>(G14-$O14)/$O14*100</f>
        <v>-3.3472803347280333</v>
      </c>
      <c r="H33" s="2">
        <f>(H14-$O14)/$O14*100</f>
        <v>-1.0460251046025104</v>
      </c>
      <c r="I33" s="2">
        <f>(I14-$O14)/$O14*100</f>
        <v>-3.5564853556485359</v>
      </c>
      <c r="J33" s="2">
        <f>(J14-$O14)/$O14*100</f>
        <v>-4.1841004184100417</v>
      </c>
      <c r="K33" s="2">
        <f>(K14-$O14)/$O14*100</f>
        <v>-1.6736401673640167</v>
      </c>
      <c r="L33" s="2">
        <f>(L14-$O14)/$O14*100</f>
        <v>-1.882845188284519</v>
      </c>
    </row>
    <row r="34" spans="1:12" x14ac:dyDescent="0.55000000000000004">
      <c r="A34" s="2">
        <f>(A15-$O15)/$O15*100</f>
        <v>4.1786743515850144</v>
      </c>
      <c r="B34" s="2">
        <f>(B15-$O15)/$O15*100</f>
        <v>9.2219020172910664</v>
      </c>
      <c r="C34" s="2">
        <f>(C15-$O15)/$O15*100</f>
        <v>0</v>
      </c>
      <c r="D34" s="2">
        <f>(D15-$O15)/$O15*100</f>
        <v>2.8818443804034581</v>
      </c>
      <c r="E34" s="2">
        <f>(E15-$O15)/$O15*100</f>
        <v>2.4495677233429394</v>
      </c>
      <c r="F34" s="2">
        <f>(F15-$O15)/$O15*100</f>
        <v>0</v>
      </c>
      <c r="G34" s="2">
        <f>(G15-$O15)/$O15*100</f>
        <v>0</v>
      </c>
      <c r="H34" s="2">
        <f>(H15-$O15)/$O15*100</f>
        <v>0</v>
      </c>
      <c r="I34" s="2">
        <f>(I15-$O15)/$O15*100</f>
        <v>0</v>
      </c>
      <c r="J34" s="2">
        <f>(J15-$O15)/$O15*100</f>
        <v>0</v>
      </c>
      <c r="K34" s="2">
        <f>(K15-$O15)/$O15*100</f>
        <v>12.680115273775217</v>
      </c>
      <c r="L34" s="2">
        <f>(L15-$O15)/$O15*100</f>
        <v>10.086455331412104</v>
      </c>
    </row>
    <row r="35" spans="1:12" x14ac:dyDescent="0.55000000000000004">
      <c r="A35" s="2">
        <f>(A16-$O16)/$O16*100</f>
        <v>-0.7832898172323759</v>
      </c>
      <c r="B35" s="2">
        <f>(B16-$O16)/$O16*100</f>
        <v>-0.26109660574412535</v>
      </c>
      <c r="C35" s="2">
        <f>(C16-$O16)/$O16*100</f>
        <v>9.1383812010443854</v>
      </c>
      <c r="D35" s="2">
        <f>(D16-$O16)/$O16*100</f>
        <v>1.8276762402088773</v>
      </c>
      <c r="E35" s="2">
        <f>(E16-$O16)/$O16*100</f>
        <v>8.093994778067886</v>
      </c>
      <c r="F35" s="2">
        <f>(F16-$O16)/$O16*100</f>
        <v>3.9164490861618799</v>
      </c>
      <c r="G35" s="2">
        <f>(G16-$O16)/$O16*100</f>
        <v>3.1331592689295036</v>
      </c>
      <c r="H35" s="2">
        <f>(H16-$O16)/$O16*100</f>
        <v>2.3498694516971277</v>
      </c>
      <c r="I35" s="2">
        <f>(I16-$O16)/$O16*100</f>
        <v>3.9164490861618799</v>
      </c>
      <c r="J35" s="2">
        <f>(J16-$O16)/$O16*100</f>
        <v>3.9164490861618799</v>
      </c>
      <c r="K35" s="2">
        <f>(K16-$O16)/$O16*100</f>
        <v>1.0443864229765014</v>
      </c>
      <c r="L35" s="2">
        <f>(L16-$O16)/$O16*100</f>
        <v>1.5665796344647518</v>
      </c>
    </row>
    <row r="36" spans="1:12" x14ac:dyDescent="0.5500000000000000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x14ac:dyDescent="0.55000000000000004">
      <c r="A37" s="2">
        <f>AVERAGE(A21:A35)</f>
        <v>13.621058452112967</v>
      </c>
      <c r="B37" s="2">
        <f t="shared" ref="B37:L37" si="1">AVERAGE(B21:B35)</f>
        <v>13.752831371374423</v>
      </c>
      <c r="C37" s="2">
        <f t="shared" si="1"/>
        <v>12.985785026783041</v>
      </c>
      <c r="D37" s="2">
        <f t="shared" si="1"/>
        <v>13.741686258977238</v>
      </c>
      <c r="E37" s="2">
        <f t="shared" si="1"/>
        <v>13.511820207475576</v>
      </c>
      <c r="F37" s="2">
        <f t="shared" si="1"/>
        <v>13.204726037079324</v>
      </c>
      <c r="G37" s="2">
        <f t="shared" si="1"/>
        <v>13.026562528706146</v>
      </c>
      <c r="H37" s="2">
        <f t="shared" si="1"/>
        <v>12.508872987287335</v>
      </c>
      <c r="I37" s="2">
        <f t="shared" si="1"/>
        <v>12.066351157510626</v>
      </c>
      <c r="J37" s="2">
        <f t="shared" si="1"/>
        <v>13.687417640335749</v>
      </c>
      <c r="K37" s="2">
        <f t="shared" si="1"/>
        <v>15.497570980417466</v>
      </c>
      <c r="L37" s="2">
        <f t="shared" si="1"/>
        <v>14.637433864170822</v>
      </c>
    </row>
    <row r="38" spans="1:12" x14ac:dyDescent="0.55000000000000004">
      <c r="A38" s="2">
        <f>AVERAGE(A37:H37)</f>
        <v>13.294167858724506</v>
      </c>
      <c r="I38" s="2">
        <f>AVERAGE(I37:L37)</f>
        <v>13.972193410608666</v>
      </c>
    </row>
    <row r="40" spans="1:12" x14ac:dyDescent="0.55000000000000004">
      <c r="B40" t="s">
        <v>9</v>
      </c>
      <c r="C40" s="2">
        <f>AVERAGE(A37:L37)</f>
        <v>13.520176376019224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2318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Arthur Jorge Pereira Corrêa</cp:lastModifiedBy>
  <cp:revision>6</cp:revision>
  <dcterms:created xsi:type="dcterms:W3CDTF">2025-04-04T13:38:16Z</dcterms:created>
  <dcterms:modified xsi:type="dcterms:W3CDTF">2025-11-01T17:41:53Z</dcterms:modified>
  <dc:language>pt-PT</dc:language>
</cp:coreProperties>
</file>