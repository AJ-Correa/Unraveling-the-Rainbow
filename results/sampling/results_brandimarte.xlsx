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8147793_student_uc_pt/Documents/PhD/Unraveling the Rainbow/Code/results/sampling/"/>
    </mc:Choice>
  </mc:AlternateContent>
  <xr:revisionPtr revIDLastSave="49" documentId="13_ncr:1_{838B32AD-8632-4175-A6F7-A85D55F3BFA1}" xr6:coauthVersionLast="47" xr6:coauthVersionMax="47" xr10:uidLastSave="{8B78D781-0190-483F-807B-EEAD42D7A719}"/>
  <bookViews>
    <workbookView xWindow="-96" yWindow="-96" windowWidth="20928" windowHeight="12432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4" i="1"/>
  <c r="L23" i="1"/>
  <c r="L22" i="1"/>
  <c r="L21" i="1"/>
  <c r="L20" i="1"/>
  <c r="L19" i="1"/>
  <c r="L18" i="1"/>
  <c r="L17" i="1"/>
  <c r="L16" i="1"/>
  <c r="K25" i="1"/>
  <c r="K24" i="1"/>
  <c r="K23" i="1"/>
  <c r="K22" i="1"/>
  <c r="K21" i="1"/>
  <c r="K20" i="1"/>
  <c r="K19" i="1"/>
  <c r="K18" i="1"/>
  <c r="K17" i="1"/>
  <c r="K16" i="1"/>
  <c r="J25" i="1"/>
  <c r="J24" i="1"/>
  <c r="J23" i="1"/>
  <c r="J22" i="1"/>
  <c r="J21" i="1"/>
  <c r="J20" i="1"/>
  <c r="J19" i="1"/>
  <c r="J18" i="1"/>
  <c r="J17" i="1"/>
  <c r="J16" i="1"/>
  <c r="X25" i="1"/>
  <c r="X24" i="1"/>
  <c r="X23" i="1"/>
  <c r="X22" i="1"/>
  <c r="X21" i="1"/>
  <c r="X20" i="1"/>
  <c r="X19" i="1"/>
  <c r="X18" i="1"/>
  <c r="X17" i="1"/>
  <c r="X16" i="1"/>
  <c r="W25" i="1"/>
  <c r="W24" i="1"/>
  <c r="W23" i="1"/>
  <c r="W22" i="1"/>
  <c r="W21" i="1"/>
  <c r="W20" i="1"/>
  <c r="W19" i="1"/>
  <c r="W18" i="1"/>
  <c r="W17" i="1"/>
  <c r="W16" i="1"/>
  <c r="V16" i="1"/>
  <c r="V25" i="1"/>
  <c r="V24" i="1"/>
  <c r="V23" i="1"/>
  <c r="V22" i="1"/>
  <c r="V21" i="1"/>
  <c r="V20" i="1"/>
  <c r="V19" i="1"/>
  <c r="V18" i="1"/>
  <c r="V17" i="1"/>
  <c r="M16" i="1"/>
  <c r="AA13" i="1"/>
  <c r="M13" i="1"/>
  <c r="N13" i="1"/>
  <c r="O13" i="1"/>
  <c r="P13" i="1"/>
  <c r="Q13" i="1"/>
  <c r="R13" i="1"/>
  <c r="S13" i="1"/>
  <c r="T13" i="1"/>
  <c r="U13" i="1"/>
  <c r="V13" i="1"/>
  <c r="W13" i="1"/>
  <c r="X13" i="1"/>
  <c r="J13" i="1"/>
  <c r="K13" i="1"/>
  <c r="L13" i="1"/>
  <c r="U25" i="1"/>
  <c r="T25" i="1"/>
  <c r="S25" i="1"/>
  <c r="R25" i="1"/>
  <c r="Q25" i="1"/>
  <c r="P25" i="1"/>
  <c r="O25" i="1"/>
  <c r="N25" i="1"/>
  <c r="M25" i="1"/>
  <c r="I25" i="1"/>
  <c r="H25" i="1"/>
  <c r="G25" i="1"/>
  <c r="F25" i="1"/>
  <c r="E25" i="1"/>
  <c r="D25" i="1"/>
  <c r="C25" i="1"/>
  <c r="B25" i="1"/>
  <c r="A25" i="1"/>
  <c r="U24" i="1"/>
  <c r="T24" i="1"/>
  <c r="S24" i="1"/>
  <c r="R24" i="1"/>
  <c r="Q24" i="1"/>
  <c r="P24" i="1"/>
  <c r="O24" i="1"/>
  <c r="N24" i="1"/>
  <c r="M24" i="1"/>
  <c r="I24" i="1"/>
  <c r="H24" i="1"/>
  <c r="G24" i="1"/>
  <c r="F24" i="1"/>
  <c r="E24" i="1"/>
  <c r="D24" i="1"/>
  <c r="C24" i="1"/>
  <c r="B24" i="1"/>
  <c r="A24" i="1"/>
  <c r="U23" i="1"/>
  <c r="T23" i="1"/>
  <c r="S23" i="1"/>
  <c r="R23" i="1"/>
  <c r="Q23" i="1"/>
  <c r="P23" i="1"/>
  <c r="O23" i="1"/>
  <c r="N23" i="1"/>
  <c r="M23" i="1"/>
  <c r="I23" i="1"/>
  <c r="H23" i="1"/>
  <c r="G23" i="1"/>
  <c r="F23" i="1"/>
  <c r="E23" i="1"/>
  <c r="D23" i="1"/>
  <c r="C23" i="1"/>
  <c r="B23" i="1"/>
  <c r="A23" i="1"/>
  <c r="U22" i="1"/>
  <c r="T22" i="1"/>
  <c r="S22" i="1"/>
  <c r="R22" i="1"/>
  <c r="Q22" i="1"/>
  <c r="P22" i="1"/>
  <c r="O22" i="1"/>
  <c r="N22" i="1"/>
  <c r="M22" i="1"/>
  <c r="I22" i="1"/>
  <c r="H22" i="1"/>
  <c r="G22" i="1"/>
  <c r="F22" i="1"/>
  <c r="E22" i="1"/>
  <c r="D22" i="1"/>
  <c r="C22" i="1"/>
  <c r="B22" i="1"/>
  <c r="A22" i="1"/>
  <c r="U21" i="1"/>
  <c r="T21" i="1"/>
  <c r="S21" i="1"/>
  <c r="R21" i="1"/>
  <c r="Q21" i="1"/>
  <c r="P21" i="1"/>
  <c r="O21" i="1"/>
  <c r="N21" i="1"/>
  <c r="M21" i="1"/>
  <c r="I21" i="1"/>
  <c r="H21" i="1"/>
  <c r="G21" i="1"/>
  <c r="F21" i="1"/>
  <c r="E21" i="1"/>
  <c r="D21" i="1"/>
  <c r="C21" i="1"/>
  <c r="B21" i="1"/>
  <c r="A21" i="1"/>
  <c r="U20" i="1"/>
  <c r="T20" i="1"/>
  <c r="S20" i="1"/>
  <c r="R20" i="1"/>
  <c r="Q20" i="1"/>
  <c r="P20" i="1"/>
  <c r="O20" i="1"/>
  <c r="N20" i="1"/>
  <c r="M20" i="1"/>
  <c r="I20" i="1"/>
  <c r="H20" i="1"/>
  <c r="G20" i="1"/>
  <c r="F20" i="1"/>
  <c r="E20" i="1"/>
  <c r="D20" i="1"/>
  <c r="C20" i="1"/>
  <c r="B20" i="1"/>
  <c r="A20" i="1"/>
  <c r="U19" i="1"/>
  <c r="T19" i="1"/>
  <c r="S19" i="1"/>
  <c r="R19" i="1"/>
  <c r="Q19" i="1"/>
  <c r="P19" i="1"/>
  <c r="O19" i="1"/>
  <c r="N19" i="1"/>
  <c r="M19" i="1"/>
  <c r="I19" i="1"/>
  <c r="H19" i="1"/>
  <c r="G19" i="1"/>
  <c r="F19" i="1"/>
  <c r="E19" i="1"/>
  <c r="D19" i="1"/>
  <c r="C19" i="1"/>
  <c r="B19" i="1"/>
  <c r="A19" i="1"/>
  <c r="U18" i="1"/>
  <c r="T18" i="1"/>
  <c r="S18" i="1"/>
  <c r="R18" i="1"/>
  <c r="Q18" i="1"/>
  <c r="P18" i="1"/>
  <c r="O18" i="1"/>
  <c r="N18" i="1"/>
  <c r="M18" i="1"/>
  <c r="I18" i="1"/>
  <c r="H18" i="1"/>
  <c r="G18" i="1"/>
  <c r="F18" i="1"/>
  <c r="E18" i="1"/>
  <c r="D18" i="1"/>
  <c r="C18" i="1"/>
  <c r="B18" i="1"/>
  <c r="A18" i="1"/>
  <c r="U17" i="1"/>
  <c r="T17" i="1"/>
  <c r="S17" i="1"/>
  <c r="R17" i="1"/>
  <c r="Q17" i="1"/>
  <c r="P17" i="1"/>
  <c r="O17" i="1"/>
  <c r="N17" i="1"/>
  <c r="M17" i="1"/>
  <c r="I17" i="1"/>
  <c r="H17" i="1"/>
  <c r="G17" i="1"/>
  <c r="F17" i="1"/>
  <c r="E17" i="1"/>
  <c r="D17" i="1"/>
  <c r="C17" i="1"/>
  <c r="B17" i="1"/>
  <c r="A17" i="1"/>
  <c r="U16" i="1"/>
  <c r="T16" i="1"/>
  <c r="S16" i="1"/>
  <c r="R16" i="1"/>
  <c r="Q16" i="1"/>
  <c r="P16" i="1"/>
  <c r="O16" i="1"/>
  <c r="N16" i="1"/>
  <c r="I16" i="1"/>
  <c r="H16" i="1"/>
  <c r="G16" i="1"/>
  <c r="F16" i="1"/>
  <c r="E16" i="1"/>
  <c r="D16" i="1"/>
  <c r="C16" i="1"/>
  <c r="B16" i="1"/>
  <c r="A16" i="1"/>
  <c r="I13" i="1"/>
  <c r="H13" i="1"/>
  <c r="G13" i="1"/>
  <c r="F13" i="1"/>
  <c r="E13" i="1"/>
  <c r="D13" i="1"/>
  <c r="C13" i="1"/>
  <c r="B13" i="1"/>
  <c r="A13" i="1"/>
  <c r="H27" i="1" l="1"/>
  <c r="W27" i="1"/>
  <c r="U27" i="1"/>
  <c r="X27" i="1"/>
  <c r="T27" i="1"/>
  <c r="J27" i="1"/>
  <c r="V27" i="1"/>
  <c r="S27" i="1"/>
  <c r="R27" i="1"/>
  <c r="Q27" i="1"/>
  <c r="N27" i="1"/>
  <c r="O27" i="1"/>
  <c r="P27" i="1"/>
  <c r="K27" i="1"/>
  <c r="M27" i="1"/>
  <c r="L27" i="1"/>
  <c r="D27" i="1"/>
  <c r="C27" i="1"/>
  <c r="E27" i="1"/>
  <c r="F27" i="1"/>
  <c r="I27" i="1"/>
  <c r="G27" i="1"/>
  <c r="A27" i="1"/>
  <c r="B27" i="1"/>
  <c r="C31" i="1" l="1"/>
  <c r="C30" i="1"/>
</calcChain>
</file>

<file path=xl/sharedStrings.xml><?xml version="1.0" encoding="utf-8"?>
<sst xmlns="http://schemas.openxmlformats.org/spreadsheetml/2006/main" count="26" uniqueCount="26">
  <si>
    <t>(6, 6) - DQN</t>
  </si>
  <si>
    <t>(6, 6) - DDQN</t>
  </si>
  <si>
    <t>(6, 6) - PER</t>
  </si>
  <si>
    <t>(6, 6) - Dueling</t>
  </si>
  <si>
    <t>(6, 6) - Noisy</t>
  </si>
  <si>
    <t>(6, 6) - Distributional</t>
  </si>
  <si>
    <t>(6, 6) - NStep</t>
  </si>
  <si>
    <t>(6, 6) - Rainbow</t>
  </si>
  <si>
    <t>(6, 6) – PPO</t>
  </si>
  <si>
    <t>(20, 10) - DQN</t>
  </si>
  <si>
    <t>(20, 10) - DDQN</t>
  </si>
  <si>
    <t>(20, 10) - PER</t>
  </si>
  <si>
    <t>(20, 10) - Dueling</t>
  </si>
  <si>
    <t>(20, 10) - Noisy</t>
  </si>
  <si>
    <t>(20, 10) - Distributional</t>
  </si>
  <si>
    <t>(20, 10) - NStep</t>
  </si>
  <si>
    <t>(20, 10) - Rainbow</t>
  </si>
  <si>
    <t>(20, 10) – PPO</t>
  </si>
  <si>
    <t>6x6</t>
  </si>
  <si>
    <t>20x10</t>
  </si>
  <si>
    <t>(6, 6) - A2C</t>
  </si>
  <si>
    <t>(6, 6) - REINFORCE</t>
  </si>
  <si>
    <t>(6, 6) - VMPO</t>
  </si>
  <si>
    <t>(20, 10) - A2C</t>
  </si>
  <si>
    <t>(20, 10) - REINFORCE</t>
  </si>
  <si>
    <t>(20, 10) - VMPO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</si>
</sst>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mbria"/>
      <charset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AEC654B2-0F32-4064-A531-44CCE85F38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="85" zoomScaleNormal="85" workbookViewId="0">
      <selection activeCell="K27" sqref="K27"/>
    </sheetView>
  </sheetViews>
  <sheetFormatPr defaultColWidth="8.5234375" defaultRowHeight="14.4" x14ac:dyDescent="0.55000000000000004"/>
  <sheetData>
    <row r="1" spans="1:2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20</v>
      </c>
      <c r="K1" s="3" t="s">
        <v>21</v>
      </c>
      <c r="L1" s="3" t="s">
        <v>22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3" t="s">
        <v>23</v>
      </c>
      <c r="W1" s="3" t="s">
        <v>24</v>
      </c>
      <c r="X1" s="3" t="s">
        <v>25</v>
      </c>
    </row>
    <row r="2" spans="1:27" x14ac:dyDescent="0.55000000000000004">
      <c r="A2">
        <v>42</v>
      </c>
      <c r="B2">
        <v>42</v>
      </c>
      <c r="C2">
        <v>42</v>
      </c>
      <c r="D2">
        <v>42</v>
      </c>
      <c r="E2">
        <v>42</v>
      </c>
      <c r="F2">
        <v>42</v>
      </c>
      <c r="G2">
        <v>42</v>
      </c>
      <c r="H2">
        <v>42</v>
      </c>
      <c r="I2">
        <v>41</v>
      </c>
      <c r="J2">
        <v>42</v>
      </c>
      <c r="K2">
        <v>42</v>
      </c>
      <c r="L2">
        <v>42</v>
      </c>
      <c r="M2">
        <v>42</v>
      </c>
      <c r="N2">
        <v>42</v>
      </c>
      <c r="O2">
        <v>43</v>
      </c>
      <c r="P2">
        <v>42</v>
      </c>
      <c r="Q2">
        <v>43</v>
      </c>
      <c r="R2">
        <v>42</v>
      </c>
      <c r="S2">
        <v>44</v>
      </c>
      <c r="T2">
        <v>42</v>
      </c>
      <c r="U2">
        <v>42</v>
      </c>
      <c r="V2">
        <v>42</v>
      </c>
      <c r="W2">
        <v>45</v>
      </c>
      <c r="X2">
        <v>45</v>
      </c>
      <c r="AA2">
        <v>40</v>
      </c>
    </row>
    <row r="3" spans="1:27" x14ac:dyDescent="0.55000000000000004">
      <c r="A3">
        <v>35</v>
      </c>
      <c r="B3">
        <v>35</v>
      </c>
      <c r="C3">
        <v>36</v>
      </c>
      <c r="D3">
        <v>35</v>
      </c>
      <c r="E3">
        <v>36</v>
      </c>
      <c r="F3">
        <v>35</v>
      </c>
      <c r="G3">
        <v>36</v>
      </c>
      <c r="H3">
        <v>34</v>
      </c>
      <c r="I3">
        <v>35</v>
      </c>
      <c r="J3">
        <v>36</v>
      </c>
      <c r="K3">
        <v>34</v>
      </c>
      <c r="L3">
        <v>37</v>
      </c>
      <c r="M3">
        <v>36</v>
      </c>
      <c r="N3">
        <v>35</v>
      </c>
      <c r="O3">
        <v>36</v>
      </c>
      <c r="P3">
        <v>37</v>
      </c>
      <c r="Q3">
        <v>36</v>
      </c>
      <c r="R3">
        <v>33</v>
      </c>
      <c r="S3">
        <v>36</v>
      </c>
      <c r="T3">
        <v>35</v>
      </c>
      <c r="U3">
        <v>36</v>
      </c>
      <c r="V3">
        <v>36</v>
      </c>
      <c r="W3">
        <v>36</v>
      </c>
      <c r="X3">
        <v>38</v>
      </c>
      <c r="AA3">
        <v>26</v>
      </c>
    </row>
    <row r="4" spans="1:27" x14ac:dyDescent="0.55000000000000004">
      <c r="A4">
        <v>204</v>
      </c>
      <c r="B4">
        <v>204</v>
      </c>
      <c r="C4">
        <v>204</v>
      </c>
      <c r="D4">
        <v>204</v>
      </c>
      <c r="E4">
        <v>204</v>
      </c>
      <c r="F4">
        <v>204</v>
      </c>
      <c r="G4">
        <v>204</v>
      </c>
      <c r="H4">
        <v>204</v>
      </c>
      <c r="I4">
        <v>204</v>
      </c>
      <c r="J4">
        <v>204</v>
      </c>
      <c r="K4">
        <v>204</v>
      </c>
      <c r="L4">
        <v>204</v>
      </c>
      <c r="M4">
        <v>204</v>
      </c>
      <c r="N4">
        <v>204</v>
      </c>
      <c r="O4">
        <v>204</v>
      </c>
      <c r="P4">
        <v>207</v>
      </c>
      <c r="Q4">
        <v>204</v>
      </c>
      <c r="R4">
        <v>204</v>
      </c>
      <c r="S4">
        <v>204</v>
      </c>
      <c r="T4">
        <v>204</v>
      </c>
      <c r="U4">
        <v>204</v>
      </c>
      <c r="V4">
        <v>204</v>
      </c>
      <c r="W4">
        <v>204</v>
      </c>
      <c r="X4">
        <v>211</v>
      </c>
      <c r="AA4">
        <v>204</v>
      </c>
    </row>
    <row r="5" spans="1:27" x14ac:dyDescent="0.55000000000000004">
      <c r="A5">
        <v>67</v>
      </c>
      <c r="B5">
        <v>68</v>
      </c>
      <c r="C5">
        <v>67</v>
      </c>
      <c r="D5">
        <v>67</v>
      </c>
      <c r="E5">
        <v>67</v>
      </c>
      <c r="F5">
        <v>67</v>
      </c>
      <c r="G5">
        <v>67</v>
      </c>
      <c r="H5">
        <v>66</v>
      </c>
      <c r="I5">
        <v>67</v>
      </c>
      <c r="J5">
        <v>68</v>
      </c>
      <c r="K5">
        <v>67</v>
      </c>
      <c r="L5">
        <v>72</v>
      </c>
      <c r="M5">
        <v>71</v>
      </c>
      <c r="N5">
        <v>69</v>
      </c>
      <c r="O5">
        <v>70</v>
      </c>
      <c r="P5">
        <v>71</v>
      </c>
      <c r="Q5">
        <v>68</v>
      </c>
      <c r="R5">
        <v>67</v>
      </c>
      <c r="S5">
        <v>69</v>
      </c>
      <c r="T5">
        <v>69</v>
      </c>
      <c r="U5">
        <v>67</v>
      </c>
      <c r="V5">
        <v>69</v>
      </c>
      <c r="W5">
        <v>71</v>
      </c>
      <c r="X5">
        <v>74</v>
      </c>
      <c r="AA5">
        <v>60</v>
      </c>
    </row>
    <row r="6" spans="1:27" x14ac:dyDescent="0.55000000000000004">
      <c r="A6">
        <v>182</v>
      </c>
      <c r="B6">
        <v>182</v>
      </c>
      <c r="C6">
        <v>179</v>
      </c>
      <c r="D6">
        <v>179</v>
      </c>
      <c r="E6">
        <v>182</v>
      </c>
      <c r="F6">
        <v>180</v>
      </c>
      <c r="G6">
        <v>186</v>
      </c>
      <c r="H6">
        <v>179</v>
      </c>
      <c r="I6">
        <v>178</v>
      </c>
      <c r="J6">
        <v>180</v>
      </c>
      <c r="K6">
        <v>185</v>
      </c>
      <c r="L6">
        <v>186</v>
      </c>
      <c r="M6">
        <v>182</v>
      </c>
      <c r="N6">
        <v>183</v>
      </c>
      <c r="O6">
        <v>183</v>
      </c>
      <c r="P6">
        <v>182</v>
      </c>
      <c r="Q6">
        <v>182</v>
      </c>
      <c r="R6">
        <v>187</v>
      </c>
      <c r="S6">
        <v>182</v>
      </c>
      <c r="T6">
        <v>181</v>
      </c>
      <c r="U6">
        <v>182</v>
      </c>
      <c r="V6">
        <v>181</v>
      </c>
      <c r="W6">
        <v>182</v>
      </c>
      <c r="X6">
        <v>187</v>
      </c>
      <c r="AA6">
        <v>173</v>
      </c>
    </row>
    <row r="7" spans="1:27" x14ac:dyDescent="0.55000000000000004">
      <c r="A7">
        <v>85</v>
      </c>
      <c r="B7">
        <v>86</v>
      </c>
      <c r="C7">
        <v>84</v>
      </c>
      <c r="D7">
        <v>88</v>
      </c>
      <c r="E7">
        <v>83</v>
      </c>
      <c r="F7">
        <v>84</v>
      </c>
      <c r="G7">
        <v>89</v>
      </c>
      <c r="H7">
        <v>83</v>
      </c>
      <c r="I7">
        <v>86</v>
      </c>
      <c r="J7">
        <v>85</v>
      </c>
      <c r="K7">
        <v>83</v>
      </c>
      <c r="L7">
        <v>90</v>
      </c>
      <c r="M7">
        <v>88</v>
      </c>
      <c r="N7">
        <v>84</v>
      </c>
      <c r="O7">
        <v>89</v>
      </c>
      <c r="P7">
        <v>86</v>
      </c>
      <c r="Q7">
        <v>88</v>
      </c>
      <c r="R7">
        <v>88</v>
      </c>
      <c r="S7">
        <v>89</v>
      </c>
      <c r="T7">
        <v>87</v>
      </c>
      <c r="U7">
        <v>87</v>
      </c>
      <c r="V7">
        <v>85</v>
      </c>
      <c r="W7">
        <v>88</v>
      </c>
      <c r="X7">
        <v>90</v>
      </c>
      <c r="AA7">
        <v>58</v>
      </c>
    </row>
    <row r="8" spans="1:27" x14ac:dyDescent="0.55000000000000004">
      <c r="A8">
        <v>185</v>
      </c>
      <c r="B8">
        <v>186</v>
      </c>
      <c r="C8">
        <v>184</v>
      </c>
      <c r="D8">
        <v>187</v>
      </c>
      <c r="E8">
        <v>186</v>
      </c>
      <c r="F8">
        <v>185</v>
      </c>
      <c r="G8">
        <v>187</v>
      </c>
      <c r="H8">
        <v>184</v>
      </c>
      <c r="I8">
        <v>182</v>
      </c>
      <c r="J8">
        <v>189</v>
      </c>
      <c r="K8">
        <v>191</v>
      </c>
      <c r="L8">
        <v>189</v>
      </c>
      <c r="M8">
        <v>193</v>
      </c>
      <c r="N8">
        <v>181</v>
      </c>
      <c r="O8">
        <v>186</v>
      </c>
      <c r="P8">
        <v>179</v>
      </c>
      <c r="Q8">
        <v>191</v>
      </c>
      <c r="R8">
        <v>182</v>
      </c>
      <c r="S8">
        <v>188</v>
      </c>
      <c r="T8">
        <v>187</v>
      </c>
      <c r="U8">
        <v>186</v>
      </c>
      <c r="V8">
        <v>183</v>
      </c>
      <c r="W8">
        <v>194</v>
      </c>
      <c r="X8">
        <v>195</v>
      </c>
      <c r="AA8">
        <v>144</v>
      </c>
    </row>
    <row r="9" spans="1:27" x14ac:dyDescent="0.55000000000000004">
      <c r="A9">
        <v>523</v>
      </c>
      <c r="B9">
        <v>523</v>
      </c>
      <c r="C9">
        <v>523</v>
      </c>
      <c r="D9">
        <v>523</v>
      </c>
      <c r="E9">
        <v>534</v>
      </c>
      <c r="F9">
        <v>523</v>
      </c>
      <c r="G9">
        <v>523</v>
      </c>
      <c r="H9">
        <v>523</v>
      </c>
      <c r="I9">
        <v>523</v>
      </c>
      <c r="J9">
        <v>523</v>
      </c>
      <c r="K9">
        <v>523</v>
      </c>
      <c r="L9">
        <v>523</v>
      </c>
      <c r="M9">
        <v>523</v>
      </c>
      <c r="N9">
        <v>523</v>
      </c>
      <c r="O9">
        <v>523</v>
      </c>
      <c r="P9">
        <v>523</v>
      </c>
      <c r="Q9">
        <v>523</v>
      </c>
      <c r="R9">
        <v>523</v>
      </c>
      <c r="S9">
        <v>523</v>
      </c>
      <c r="T9">
        <v>523</v>
      </c>
      <c r="U9">
        <v>523</v>
      </c>
      <c r="V9">
        <v>523</v>
      </c>
      <c r="W9">
        <v>523</v>
      </c>
      <c r="X9">
        <v>523</v>
      </c>
      <c r="AA9">
        <v>523</v>
      </c>
    </row>
    <row r="10" spans="1:27" x14ac:dyDescent="0.55000000000000004">
      <c r="A10">
        <v>317</v>
      </c>
      <c r="B10">
        <v>325</v>
      </c>
      <c r="C10">
        <v>319</v>
      </c>
      <c r="D10">
        <v>325</v>
      </c>
      <c r="E10">
        <v>317</v>
      </c>
      <c r="F10">
        <v>313</v>
      </c>
      <c r="G10">
        <v>322</v>
      </c>
      <c r="H10">
        <v>315</v>
      </c>
      <c r="I10">
        <v>314</v>
      </c>
      <c r="J10">
        <v>317</v>
      </c>
      <c r="K10">
        <v>325</v>
      </c>
      <c r="L10">
        <v>339</v>
      </c>
      <c r="M10">
        <v>333</v>
      </c>
      <c r="N10">
        <v>321</v>
      </c>
      <c r="O10">
        <v>343</v>
      </c>
      <c r="P10">
        <v>355</v>
      </c>
      <c r="Q10">
        <v>327</v>
      </c>
      <c r="R10">
        <v>319</v>
      </c>
      <c r="S10">
        <v>329</v>
      </c>
      <c r="T10">
        <v>331</v>
      </c>
      <c r="U10">
        <v>319</v>
      </c>
      <c r="V10">
        <v>316</v>
      </c>
      <c r="W10">
        <v>335</v>
      </c>
      <c r="X10">
        <v>354</v>
      </c>
      <c r="AA10">
        <v>307</v>
      </c>
    </row>
    <row r="11" spans="1:27" x14ac:dyDescent="0.55000000000000004">
      <c r="A11">
        <v>254</v>
      </c>
      <c r="B11">
        <v>257</v>
      </c>
      <c r="C11">
        <v>256</v>
      </c>
      <c r="D11">
        <v>256</v>
      </c>
      <c r="E11">
        <v>247</v>
      </c>
      <c r="F11">
        <v>250</v>
      </c>
      <c r="G11">
        <v>259</v>
      </c>
      <c r="H11">
        <v>249</v>
      </c>
      <c r="I11">
        <v>247</v>
      </c>
      <c r="J11">
        <v>251</v>
      </c>
      <c r="K11">
        <v>246</v>
      </c>
      <c r="L11">
        <v>264</v>
      </c>
      <c r="M11">
        <v>258</v>
      </c>
      <c r="N11">
        <v>258</v>
      </c>
      <c r="O11">
        <v>255</v>
      </c>
      <c r="P11">
        <v>268</v>
      </c>
      <c r="Q11">
        <v>257</v>
      </c>
      <c r="R11">
        <v>250</v>
      </c>
      <c r="S11">
        <v>260</v>
      </c>
      <c r="T11">
        <v>261</v>
      </c>
      <c r="U11">
        <v>258</v>
      </c>
      <c r="V11">
        <v>254</v>
      </c>
      <c r="W11">
        <v>263</v>
      </c>
      <c r="X11">
        <v>273</v>
      </c>
      <c r="AA11">
        <v>198</v>
      </c>
    </row>
    <row r="13" spans="1:27" x14ac:dyDescent="0.55000000000000004">
      <c r="A13">
        <f t="shared" ref="A13:H13" si="0">AVERAGE(A2:A11)</f>
        <v>189.4</v>
      </c>
      <c r="B13">
        <f t="shared" si="0"/>
        <v>190.8</v>
      </c>
      <c r="C13">
        <f t="shared" si="0"/>
        <v>189.4</v>
      </c>
      <c r="D13">
        <f t="shared" si="0"/>
        <v>190.6</v>
      </c>
      <c r="E13">
        <f t="shared" si="0"/>
        <v>189.8</v>
      </c>
      <c r="F13">
        <f t="shared" si="0"/>
        <v>188.3</v>
      </c>
      <c r="G13">
        <f t="shared" si="0"/>
        <v>191.5</v>
      </c>
      <c r="H13">
        <f t="shared" si="0"/>
        <v>187.9</v>
      </c>
      <c r="I13">
        <f t="shared" ref="I13:L13" si="1">AVERAGE(I2:I11)</f>
        <v>187.7</v>
      </c>
      <c r="J13">
        <f t="shared" si="1"/>
        <v>189.5</v>
      </c>
      <c r="K13">
        <f t="shared" si="1"/>
        <v>190</v>
      </c>
      <c r="L13">
        <f t="shared" si="1"/>
        <v>194.6</v>
      </c>
      <c r="M13">
        <f t="shared" ref="M13:X13" si="2">AVERAGE(M2:M11)</f>
        <v>193</v>
      </c>
      <c r="N13">
        <f t="shared" si="2"/>
        <v>190</v>
      </c>
      <c r="O13">
        <f t="shared" si="2"/>
        <v>193.2</v>
      </c>
      <c r="P13">
        <f t="shared" si="2"/>
        <v>195</v>
      </c>
      <c r="Q13">
        <f t="shared" si="2"/>
        <v>191.9</v>
      </c>
      <c r="R13">
        <f t="shared" si="2"/>
        <v>189.5</v>
      </c>
      <c r="S13">
        <f t="shared" si="2"/>
        <v>192.4</v>
      </c>
      <c r="T13">
        <f t="shared" si="2"/>
        <v>192</v>
      </c>
      <c r="U13">
        <f t="shared" si="2"/>
        <v>190.4</v>
      </c>
      <c r="V13">
        <f t="shared" si="2"/>
        <v>189.3</v>
      </c>
      <c r="W13">
        <f t="shared" si="2"/>
        <v>194.1</v>
      </c>
      <c r="X13">
        <f t="shared" si="2"/>
        <v>199</v>
      </c>
      <c r="AA13">
        <f>AVERAGE(AA2:AA11)</f>
        <v>173.3</v>
      </c>
    </row>
    <row r="16" spans="1:27" x14ac:dyDescent="0.55000000000000004">
      <c r="A16" s="2">
        <f t="shared" ref="A16:X16" si="3">(A2-$AA2)/$AA2*100</f>
        <v>5</v>
      </c>
      <c r="B16" s="2">
        <f t="shared" si="3"/>
        <v>5</v>
      </c>
      <c r="C16" s="2">
        <f t="shared" si="3"/>
        <v>5</v>
      </c>
      <c r="D16" s="2">
        <f t="shared" si="3"/>
        <v>5</v>
      </c>
      <c r="E16" s="2">
        <f t="shared" si="3"/>
        <v>5</v>
      </c>
      <c r="F16" s="2">
        <f t="shared" si="3"/>
        <v>5</v>
      </c>
      <c r="G16" s="2">
        <f t="shared" si="3"/>
        <v>5</v>
      </c>
      <c r="H16" s="2">
        <f t="shared" si="3"/>
        <v>5</v>
      </c>
      <c r="I16" s="2">
        <f t="shared" si="3"/>
        <v>2.5</v>
      </c>
      <c r="J16" s="2">
        <f t="shared" si="3"/>
        <v>5</v>
      </c>
      <c r="K16" s="2">
        <f t="shared" si="3"/>
        <v>5</v>
      </c>
      <c r="L16" s="2">
        <f t="shared" si="3"/>
        <v>5</v>
      </c>
      <c r="M16" s="2">
        <f t="shared" si="3"/>
        <v>5</v>
      </c>
      <c r="N16" s="2">
        <f t="shared" si="3"/>
        <v>5</v>
      </c>
      <c r="O16" s="2">
        <f t="shared" si="3"/>
        <v>7.5</v>
      </c>
      <c r="P16" s="2">
        <f t="shared" si="3"/>
        <v>5</v>
      </c>
      <c r="Q16" s="2">
        <f t="shared" si="3"/>
        <v>7.5</v>
      </c>
      <c r="R16" s="2">
        <f t="shared" si="3"/>
        <v>5</v>
      </c>
      <c r="S16" s="2">
        <f t="shared" si="3"/>
        <v>10</v>
      </c>
      <c r="T16" s="2">
        <f t="shared" si="3"/>
        <v>5</v>
      </c>
      <c r="U16" s="2">
        <f t="shared" si="3"/>
        <v>5</v>
      </c>
      <c r="V16" s="2">
        <f t="shared" si="3"/>
        <v>5</v>
      </c>
      <c r="W16" s="2">
        <f t="shared" si="3"/>
        <v>12.5</v>
      </c>
      <c r="X16" s="2">
        <f t="shared" si="3"/>
        <v>12.5</v>
      </c>
    </row>
    <row r="17" spans="1:24" x14ac:dyDescent="0.55000000000000004">
      <c r="A17" s="2">
        <f t="shared" ref="A17:U17" si="4">(A3-$AA3)/$AA3*100</f>
        <v>34.615384615384613</v>
      </c>
      <c r="B17" s="2">
        <f t="shared" si="4"/>
        <v>34.615384615384613</v>
      </c>
      <c r="C17" s="2">
        <f t="shared" si="4"/>
        <v>38.461538461538467</v>
      </c>
      <c r="D17" s="2">
        <f t="shared" si="4"/>
        <v>34.615384615384613</v>
      </c>
      <c r="E17" s="2">
        <f t="shared" si="4"/>
        <v>38.461538461538467</v>
      </c>
      <c r="F17" s="2">
        <f t="shared" si="4"/>
        <v>34.615384615384613</v>
      </c>
      <c r="G17" s="2">
        <f t="shared" si="4"/>
        <v>38.461538461538467</v>
      </c>
      <c r="H17" s="2">
        <f t="shared" si="4"/>
        <v>30.76923076923077</v>
      </c>
      <c r="I17" s="2">
        <f t="shared" si="4"/>
        <v>34.615384615384613</v>
      </c>
      <c r="J17" s="2">
        <f t="shared" si="4"/>
        <v>38.461538461538467</v>
      </c>
      <c r="K17" s="2">
        <f t="shared" si="4"/>
        <v>30.76923076923077</v>
      </c>
      <c r="L17" s="2">
        <f t="shared" si="4"/>
        <v>42.307692307692307</v>
      </c>
      <c r="M17" s="2">
        <f t="shared" si="4"/>
        <v>38.461538461538467</v>
      </c>
      <c r="N17" s="2">
        <f t="shared" si="4"/>
        <v>34.615384615384613</v>
      </c>
      <c r="O17" s="2">
        <f t="shared" si="4"/>
        <v>38.461538461538467</v>
      </c>
      <c r="P17" s="2">
        <f t="shared" si="4"/>
        <v>42.307692307692307</v>
      </c>
      <c r="Q17" s="2">
        <f t="shared" si="4"/>
        <v>38.461538461538467</v>
      </c>
      <c r="R17" s="2">
        <f t="shared" si="4"/>
        <v>26.923076923076923</v>
      </c>
      <c r="S17" s="2">
        <f t="shared" si="4"/>
        <v>38.461538461538467</v>
      </c>
      <c r="T17" s="2">
        <f t="shared" si="4"/>
        <v>34.615384615384613</v>
      </c>
      <c r="U17" s="2">
        <f t="shared" si="4"/>
        <v>38.461538461538467</v>
      </c>
      <c r="V17" s="2">
        <f t="shared" ref="V17:W17" si="5">(V3-$AA3)/$AA3*100</f>
        <v>38.461538461538467</v>
      </c>
      <c r="W17" s="2">
        <f t="shared" si="5"/>
        <v>38.461538461538467</v>
      </c>
      <c r="X17" s="2">
        <f t="shared" ref="X17" si="6">(X3-$AA3)/$AA3*100</f>
        <v>46.153846153846153</v>
      </c>
    </row>
    <row r="18" spans="1:24" x14ac:dyDescent="0.55000000000000004">
      <c r="A18" s="2">
        <f t="shared" ref="A18:U18" si="7">(A4-$AA4)/$AA4*100</f>
        <v>0</v>
      </c>
      <c r="B18" s="2">
        <f t="shared" si="7"/>
        <v>0</v>
      </c>
      <c r="C18" s="2">
        <f t="shared" si="7"/>
        <v>0</v>
      </c>
      <c r="D18" s="2">
        <f t="shared" si="7"/>
        <v>0</v>
      </c>
      <c r="E18" s="2">
        <f t="shared" si="7"/>
        <v>0</v>
      </c>
      <c r="F18" s="2">
        <f t="shared" si="7"/>
        <v>0</v>
      </c>
      <c r="G18" s="2">
        <f t="shared" si="7"/>
        <v>0</v>
      </c>
      <c r="H18" s="2">
        <f t="shared" si="7"/>
        <v>0</v>
      </c>
      <c r="I18" s="2">
        <f t="shared" si="7"/>
        <v>0</v>
      </c>
      <c r="J18" s="2">
        <f t="shared" si="7"/>
        <v>0</v>
      </c>
      <c r="K18" s="2">
        <f t="shared" si="7"/>
        <v>0</v>
      </c>
      <c r="L18" s="2">
        <f t="shared" si="7"/>
        <v>0</v>
      </c>
      <c r="M18" s="2">
        <f t="shared" si="7"/>
        <v>0</v>
      </c>
      <c r="N18" s="2">
        <f t="shared" si="7"/>
        <v>0</v>
      </c>
      <c r="O18" s="2">
        <f t="shared" si="7"/>
        <v>0</v>
      </c>
      <c r="P18" s="2">
        <f t="shared" si="7"/>
        <v>1.4705882352941175</v>
      </c>
      <c r="Q18" s="2">
        <f t="shared" si="7"/>
        <v>0</v>
      </c>
      <c r="R18" s="2">
        <f t="shared" si="7"/>
        <v>0</v>
      </c>
      <c r="S18" s="2">
        <f t="shared" si="7"/>
        <v>0</v>
      </c>
      <c r="T18" s="2">
        <f t="shared" si="7"/>
        <v>0</v>
      </c>
      <c r="U18" s="2">
        <f t="shared" si="7"/>
        <v>0</v>
      </c>
      <c r="V18" s="2">
        <f t="shared" ref="V18:W18" si="8">(V4-$AA4)/$AA4*100</f>
        <v>0</v>
      </c>
      <c r="W18" s="2">
        <f t="shared" si="8"/>
        <v>0</v>
      </c>
      <c r="X18" s="2">
        <f t="shared" ref="X18" si="9">(X4-$AA4)/$AA4*100</f>
        <v>3.4313725490196081</v>
      </c>
    </row>
    <row r="19" spans="1:24" x14ac:dyDescent="0.55000000000000004">
      <c r="A19" s="2">
        <f t="shared" ref="A19:U19" si="10">(A5-$AA5)/$AA5*100</f>
        <v>11.666666666666666</v>
      </c>
      <c r="B19" s="2">
        <f t="shared" si="10"/>
        <v>13.333333333333334</v>
      </c>
      <c r="C19" s="2">
        <f t="shared" si="10"/>
        <v>11.666666666666666</v>
      </c>
      <c r="D19" s="2">
        <f t="shared" si="10"/>
        <v>11.666666666666666</v>
      </c>
      <c r="E19" s="2">
        <f t="shared" si="10"/>
        <v>11.666666666666666</v>
      </c>
      <c r="F19" s="2">
        <f t="shared" si="10"/>
        <v>11.666666666666666</v>
      </c>
      <c r="G19" s="2">
        <f t="shared" si="10"/>
        <v>11.666666666666666</v>
      </c>
      <c r="H19" s="2">
        <f t="shared" si="10"/>
        <v>10</v>
      </c>
      <c r="I19" s="2">
        <f t="shared" si="10"/>
        <v>11.666666666666666</v>
      </c>
      <c r="J19" s="2">
        <f t="shared" si="10"/>
        <v>13.333333333333334</v>
      </c>
      <c r="K19" s="2">
        <f t="shared" si="10"/>
        <v>11.666666666666666</v>
      </c>
      <c r="L19" s="2">
        <f t="shared" si="10"/>
        <v>20</v>
      </c>
      <c r="M19" s="2">
        <f t="shared" si="10"/>
        <v>18.333333333333332</v>
      </c>
      <c r="N19" s="2">
        <f t="shared" si="10"/>
        <v>15</v>
      </c>
      <c r="O19" s="2">
        <f t="shared" si="10"/>
        <v>16.666666666666664</v>
      </c>
      <c r="P19" s="2">
        <f t="shared" si="10"/>
        <v>18.333333333333332</v>
      </c>
      <c r="Q19" s="2">
        <f t="shared" si="10"/>
        <v>13.333333333333334</v>
      </c>
      <c r="R19" s="2">
        <f t="shared" si="10"/>
        <v>11.666666666666666</v>
      </c>
      <c r="S19" s="2">
        <f t="shared" si="10"/>
        <v>15</v>
      </c>
      <c r="T19" s="2">
        <f t="shared" si="10"/>
        <v>15</v>
      </c>
      <c r="U19" s="2">
        <f t="shared" si="10"/>
        <v>11.666666666666666</v>
      </c>
      <c r="V19" s="2">
        <f t="shared" ref="V19:W19" si="11">(V5-$AA5)/$AA5*100</f>
        <v>15</v>
      </c>
      <c r="W19" s="2">
        <f t="shared" si="11"/>
        <v>18.333333333333332</v>
      </c>
      <c r="X19" s="2">
        <f t="shared" ref="X19" si="12">(X5-$AA5)/$AA5*100</f>
        <v>23.333333333333332</v>
      </c>
    </row>
    <row r="20" spans="1:24" x14ac:dyDescent="0.55000000000000004">
      <c r="A20" s="2">
        <f t="shared" ref="A20:U20" si="13">(A6-$AA6)/$AA6*100</f>
        <v>5.202312138728324</v>
      </c>
      <c r="B20" s="2">
        <f t="shared" si="13"/>
        <v>5.202312138728324</v>
      </c>
      <c r="C20" s="2">
        <f t="shared" si="13"/>
        <v>3.4682080924855487</v>
      </c>
      <c r="D20" s="2">
        <f t="shared" si="13"/>
        <v>3.4682080924855487</v>
      </c>
      <c r="E20" s="2">
        <f t="shared" si="13"/>
        <v>5.202312138728324</v>
      </c>
      <c r="F20" s="2">
        <f t="shared" si="13"/>
        <v>4.0462427745664744</v>
      </c>
      <c r="G20" s="2">
        <f t="shared" si="13"/>
        <v>7.5144508670520231</v>
      </c>
      <c r="H20" s="2">
        <f t="shared" si="13"/>
        <v>3.4682080924855487</v>
      </c>
      <c r="I20" s="2">
        <f t="shared" si="13"/>
        <v>2.8901734104046244</v>
      </c>
      <c r="J20" s="2">
        <f t="shared" si="13"/>
        <v>4.0462427745664744</v>
      </c>
      <c r="K20" s="2">
        <f t="shared" si="13"/>
        <v>6.9364161849710975</v>
      </c>
      <c r="L20" s="2">
        <f t="shared" si="13"/>
        <v>7.5144508670520231</v>
      </c>
      <c r="M20" s="2">
        <f t="shared" si="13"/>
        <v>5.202312138728324</v>
      </c>
      <c r="N20" s="2">
        <f t="shared" si="13"/>
        <v>5.7803468208092488</v>
      </c>
      <c r="O20" s="2">
        <f t="shared" si="13"/>
        <v>5.7803468208092488</v>
      </c>
      <c r="P20" s="2">
        <f t="shared" si="13"/>
        <v>5.202312138728324</v>
      </c>
      <c r="Q20" s="2">
        <f t="shared" si="13"/>
        <v>5.202312138728324</v>
      </c>
      <c r="R20" s="2">
        <f t="shared" si="13"/>
        <v>8.0924855491329488</v>
      </c>
      <c r="S20" s="2">
        <f t="shared" si="13"/>
        <v>5.202312138728324</v>
      </c>
      <c r="T20" s="2">
        <f t="shared" si="13"/>
        <v>4.6242774566473983</v>
      </c>
      <c r="U20" s="2">
        <f t="shared" si="13"/>
        <v>5.202312138728324</v>
      </c>
      <c r="V20" s="2">
        <f t="shared" ref="V20:W20" si="14">(V6-$AA6)/$AA6*100</f>
        <v>4.6242774566473983</v>
      </c>
      <c r="W20" s="2">
        <f t="shared" si="14"/>
        <v>5.202312138728324</v>
      </c>
      <c r="X20" s="2">
        <f t="shared" ref="X20" si="15">(X6-$AA6)/$AA6*100</f>
        <v>8.0924855491329488</v>
      </c>
    </row>
    <row r="21" spans="1:24" x14ac:dyDescent="0.55000000000000004">
      <c r="A21" s="2">
        <f t="shared" ref="A21:U21" si="16">(A7-$AA7)/$AA7*100</f>
        <v>46.551724137931032</v>
      </c>
      <c r="B21" s="2">
        <f t="shared" si="16"/>
        <v>48.275862068965516</v>
      </c>
      <c r="C21" s="2">
        <f t="shared" si="16"/>
        <v>44.827586206896555</v>
      </c>
      <c r="D21" s="2">
        <f t="shared" si="16"/>
        <v>51.724137931034484</v>
      </c>
      <c r="E21" s="2">
        <f t="shared" si="16"/>
        <v>43.103448275862064</v>
      </c>
      <c r="F21" s="2">
        <f t="shared" si="16"/>
        <v>44.827586206896555</v>
      </c>
      <c r="G21" s="2">
        <f t="shared" si="16"/>
        <v>53.448275862068961</v>
      </c>
      <c r="H21" s="2">
        <f t="shared" si="16"/>
        <v>43.103448275862064</v>
      </c>
      <c r="I21" s="2">
        <f t="shared" si="16"/>
        <v>48.275862068965516</v>
      </c>
      <c r="J21" s="2">
        <f t="shared" si="16"/>
        <v>46.551724137931032</v>
      </c>
      <c r="K21" s="2">
        <f t="shared" si="16"/>
        <v>43.103448275862064</v>
      </c>
      <c r="L21" s="2">
        <f t="shared" si="16"/>
        <v>55.172413793103445</v>
      </c>
      <c r="M21" s="2">
        <f t="shared" si="16"/>
        <v>51.724137931034484</v>
      </c>
      <c r="N21" s="2">
        <f t="shared" si="16"/>
        <v>44.827586206896555</v>
      </c>
      <c r="O21" s="2">
        <f t="shared" si="16"/>
        <v>53.448275862068961</v>
      </c>
      <c r="P21" s="2">
        <f t="shared" si="16"/>
        <v>48.275862068965516</v>
      </c>
      <c r="Q21" s="2">
        <f t="shared" si="16"/>
        <v>51.724137931034484</v>
      </c>
      <c r="R21" s="2">
        <f t="shared" si="16"/>
        <v>51.724137931034484</v>
      </c>
      <c r="S21" s="2">
        <f t="shared" si="16"/>
        <v>53.448275862068961</v>
      </c>
      <c r="T21" s="2">
        <f t="shared" si="16"/>
        <v>50</v>
      </c>
      <c r="U21" s="2">
        <f t="shared" si="16"/>
        <v>50</v>
      </c>
      <c r="V21" s="2">
        <f t="shared" ref="V21:W21" si="17">(V7-$AA7)/$AA7*100</f>
        <v>46.551724137931032</v>
      </c>
      <c r="W21" s="2">
        <f t="shared" si="17"/>
        <v>51.724137931034484</v>
      </c>
      <c r="X21" s="2">
        <f t="shared" ref="X21" si="18">(X7-$AA7)/$AA7*100</f>
        <v>55.172413793103445</v>
      </c>
    </row>
    <row r="22" spans="1:24" x14ac:dyDescent="0.55000000000000004">
      <c r="A22" s="2">
        <f t="shared" ref="A22:U22" si="19">(A8-$AA8)/$AA8*100</f>
        <v>28.472222222222221</v>
      </c>
      <c r="B22" s="2">
        <f t="shared" si="19"/>
        <v>29.166666666666668</v>
      </c>
      <c r="C22" s="2">
        <f t="shared" si="19"/>
        <v>27.777777777777779</v>
      </c>
      <c r="D22" s="2">
        <f t="shared" si="19"/>
        <v>29.861111111111111</v>
      </c>
      <c r="E22" s="2">
        <f t="shared" si="19"/>
        <v>29.166666666666668</v>
      </c>
      <c r="F22" s="2">
        <f t="shared" si="19"/>
        <v>28.472222222222221</v>
      </c>
      <c r="G22" s="2">
        <f t="shared" si="19"/>
        <v>29.861111111111111</v>
      </c>
      <c r="H22" s="2">
        <f t="shared" si="19"/>
        <v>27.777777777777779</v>
      </c>
      <c r="I22" s="2">
        <f t="shared" si="19"/>
        <v>26.388888888888889</v>
      </c>
      <c r="J22" s="2">
        <f t="shared" si="19"/>
        <v>31.25</v>
      </c>
      <c r="K22" s="2">
        <f t="shared" si="19"/>
        <v>32.638888888888893</v>
      </c>
      <c r="L22" s="2">
        <f t="shared" si="19"/>
        <v>31.25</v>
      </c>
      <c r="M22" s="2">
        <f t="shared" si="19"/>
        <v>34.027777777777779</v>
      </c>
      <c r="N22" s="2">
        <f t="shared" si="19"/>
        <v>25.694444444444443</v>
      </c>
      <c r="O22" s="2">
        <f t="shared" si="19"/>
        <v>29.166666666666668</v>
      </c>
      <c r="P22" s="2">
        <f t="shared" si="19"/>
        <v>24.305555555555554</v>
      </c>
      <c r="Q22" s="2">
        <f t="shared" si="19"/>
        <v>32.638888888888893</v>
      </c>
      <c r="R22" s="2">
        <f t="shared" si="19"/>
        <v>26.388888888888889</v>
      </c>
      <c r="S22" s="2">
        <f t="shared" si="19"/>
        <v>30.555555555555557</v>
      </c>
      <c r="T22" s="2">
        <f t="shared" si="19"/>
        <v>29.861111111111111</v>
      </c>
      <c r="U22" s="2">
        <f t="shared" si="19"/>
        <v>29.166666666666668</v>
      </c>
      <c r="V22" s="2">
        <f t="shared" ref="V22:W22" si="20">(V8-$AA8)/$AA8*100</f>
        <v>27.083333333333332</v>
      </c>
      <c r="W22" s="2">
        <f t="shared" si="20"/>
        <v>34.722222222222221</v>
      </c>
      <c r="X22" s="2">
        <f t="shared" ref="X22" si="21">(X8-$AA8)/$AA8*100</f>
        <v>35.416666666666671</v>
      </c>
    </row>
    <row r="23" spans="1:24" x14ac:dyDescent="0.55000000000000004">
      <c r="A23" s="2">
        <f t="shared" ref="A23:U23" si="22">(A9-$AA9)/$AA9*100</f>
        <v>0</v>
      </c>
      <c r="B23" s="2">
        <f t="shared" si="22"/>
        <v>0</v>
      </c>
      <c r="C23" s="2">
        <f t="shared" si="22"/>
        <v>0</v>
      </c>
      <c r="D23" s="2">
        <f t="shared" si="22"/>
        <v>0</v>
      </c>
      <c r="E23" s="2">
        <f t="shared" si="22"/>
        <v>2.1032504780114722</v>
      </c>
      <c r="F23" s="2">
        <f t="shared" si="22"/>
        <v>0</v>
      </c>
      <c r="G23" s="2">
        <f t="shared" si="22"/>
        <v>0</v>
      </c>
      <c r="H23" s="2">
        <f t="shared" si="22"/>
        <v>0</v>
      </c>
      <c r="I23" s="2">
        <f t="shared" si="22"/>
        <v>0</v>
      </c>
      <c r="J23" s="2">
        <f t="shared" si="22"/>
        <v>0</v>
      </c>
      <c r="K23" s="2">
        <f t="shared" si="22"/>
        <v>0</v>
      </c>
      <c r="L23" s="2">
        <f t="shared" si="22"/>
        <v>0</v>
      </c>
      <c r="M23" s="2">
        <f t="shared" si="22"/>
        <v>0</v>
      </c>
      <c r="N23" s="2">
        <f t="shared" si="22"/>
        <v>0</v>
      </c>
      <c r="O23" s="2">
        <f t="shared" si="22"/>
        <v>0</v>
      </c>
      <c r="P23" s="2">
        <f t="shared" si="22"/>
        <v>0</v>
      </c>
      <c r="Q23" s="2">
        <f t="shared" si="22"/>
        <v>0</v>
      </c>
      <c r="R23" s="2">
        <f t="shared" si="22"/>
        <v>0</v>
      </c>
      <c r="S23" s="2">
        <f t="shared" si="22"/>
        <v>0</v>
      </c>
      <c r="T23" s="2">
        <f t="shared" si="22"/>
        <v>0</v>
      </c>
      <c r="U23" s="2">
        <f t="shared" si="22"/>
        <v>0</v>
      </c>
      <c r="V23" s="2">
        <f t="shared" ref="V23:W23" si="23">(V9-$AA9)/$AA9*100</f>
        <v>0</v>
      </c>
      <c r="W23" s="2">
        <f t="shared" si="23"/>
        <v>0</v>
      </c>
      <c r="X23" s="2">
        <f t="shared" ref="X23" si="24">(X9-$AA9)/$AA9*100</f>
        <v>0</v>
      </c>
    </row>
    <row r="24" spans="1:24" x14ac:dyDescent="0.55000000000000004">
      <c r="A24" s="2">
        <f t="shared" ref="A24:U24" si="25">(A10-$AA10)/$AA10*100</f>
        <v>3.2573289902280131</v>
      </c>
      <c r="B24" s="2">
        <f t="shared" si="25"/>
        <v>5.8631921824104234</v>
      </c>
      <c r="C24" s="2">
        <f t="shared" si="25"/>
        <v>3.9087947882736152</v>
      </c>
      <c r="D24" s="2">
        <f t="shared" si="25"/>
        <v>5.8631921824104234</v>
      </c>
      <c r="E24" s="2">
        <f t="shared" si="25"/>
        <v>3.2573289902280131</v>
      </c>
      <c r="F24" s="2">
        <f t="shared" si="25"/>
        <v>1.9543973941368076</v>
      </c>
      <c r="G24" s="2">
        <f t="shared" si="25"/>
        <v>4.8859934853420199</v>
      </c>
      <c r="H24" s="2">
        <f t="shared" si="25"/>
        <v>2.6058631921824107</v>
      </c>
      <c r="I24" s="2">
        <f t="shared" si="25"/>
        <v>2.2801302931596092</v>
      </c>
      <c r="J24" s="2">
        <f t="shared" si="25"/>
        <v>3.2573289902280131</v>
      </c>
      <c r="K24" s="2">
        <f t="shared" si="25"/>
        <v>5.8631921824104234</v>
      </c>
      <c r="L24" s="2">
        <f t="shared" si="25"/>
        <v>10.423452768729643</v>
      </c>
      <c r="M24" s="2">
        <f t="shared" si="25"/>
        <v>8.4690553745928341</v>
      </c>
      <c r="N24" s="2">
        <f t="shared" si="25"/>
        <v>4.5602605863192185</v>
      </c>
      <c r="O24" s="2">
        <f t="shared" si="25"/>
        <v>11.726384364820847</v>
      </c>
      <c r="P24" s="2">
        <f t="shared" si="25"/>
        <v>15.635179153094461</v>
      </c>
      <c r="Q24" s="2">
        <f t="shared" si="25"/>
        <v>6.5146579804560263</v>
      </c>
      <c r="R24" s="2">
        <f t="shared" si="25"/>
        <v>3.9087947882736152</v>
      </c>
      <c r="S24" s="2">
        <f t="shared" si="25"/>
        <v>7.1661237785016292</v>
      </c>
      <c r="T24" s="2">
        <f t="shared" si="25"/>
        <v>7.8175895765472303</v>
      </c>
      <c r="U24" s="2">
        <f t="shared" si="25"/>
        <v>3.9087947882736152</v>
      </c>
      <c r="V24" s="2">
        <f t="shared" ref="V24:W24" si="26">(V10-$AA10)/$AA10*100</f>
        <v>2.9315960912052117</v>
      </c>
      <c r="W24" s="2">
        <f t="shared" si="26"/>
        <v>9.120521172638437</v>
      </c>
      <c r="X24" s="2">
        <f t="shared" ref="X24" si="27">(X10-$AA10)/$AA10*100</f>
        <v>15.309446254071663</v>
      </c>
    </row>
    <row r="25" spans="1:24" x14ac:dyDescent="0.55000000000000004">
      <c r="A25" s="2">
        <f t="shared" ref="A25:U25" si="28">(A11-$AA11)/$AA11*100</f>
        <v>28.28282828282828</v>
      </c>
      <c r="B25" s="2">
        <f t="shared" si="28"/>
        <v>29.797979797979796</v>
      </c>
      <c r="C25" s="2">
        <f t="shared" si="28"/>
        <v>29.292929292929294</v>
      </c>
      <c r="D25" s="2">
        <f t="shared" si="28"/>
        <v>29.292929292929294</v>
      </c>
      <c r="E25" s="2">
        <f t="shared" si="28"/>
        <v>24.747474747474747</v>
      </c>
      <c r="F25" s="2">
        <f t="shared" si="28"/>
        <v>26.262626262626267</v>
      </c>
      <c r="G25" s="2">
        <f t="shared" si="28"/>
        <v>30.808080808080806</v>
      </c>
      <c r="H25" s="2">
        <f t="shared" si="28"/>
        <v>25.757575757575758</v>
      </c>
      <c r="I25" s="2">
        <f t="shared" si="28"/>
        <v>24.747474747474747</v>
      </c>
      <c r="J25" s="2">
        <f t="shared" si="28"/>
        <v>26.767676767676768</v>
      </c>
      <c r="K25" s="2">
        <f t="shared" si="28"/>
        <v>24.242424242424242</v>
      </c>
      <c r="L25" s="2">
        <f t="shared" si="28"/>
        <v>33.333333333333329</v>
      </c>
      <c r="M25" s="2">
        <f t="shared" si="28"/>
        <v>30.303030303030305</v>
      </c>
      <c r="N25" s="2">
        <f t="shared" si="28"/>
        <v>30.303030303030305</v>
      </c>
      <c r="O25" s="2">
        <f t="shared" si="28"/>
        <v>28.787878787878789</v>
      </c>
      <c r="P25" s="2">
        <f t="shared" si="28"/>
        <v>35.353535353535356</v>
      </c>
      <c r="Q25" s="2">
        <f t="shared" si="28"/>
        <v>29.797979797979796</v>
      </c>
      <c r="R25" s="2">
        <f t="shared" si="28"/>
        <v>26.262626262626267</v>
      </c>
      <c r="S25" s="2">
        <f t="shared" si="28"/>
        <v>31.313131313131315</v>
      </c>
      <c r="T25" s="2">
        <f t="shared" si="28"/>
        <v>31.818181818181817</v>
      </c>
      <c r="U25" s="2">
        <f t="shared" si="28"/>
        <v>30.303030303030305</v>
      </c>
      <c r="V25" s="2">
        <f t="shared" ref="V25:W25" si="29">(V11-$AA11)/$AA11*100</f>
        <v>28.28282828282828</v>
      </c>
      <c r="W25" s="2">
        <f t="shared" si="29"/>
        <v>32.828282828282831</v>
      </c>
      <c r="X25" s="2">
        <f t="shared" ref="X25" si="30">(X11-$AA11)/$AA11*100</f>
        <v>37.878787878787875</v>
      </c>
    </row>
    <row r="26" spans="1:24" x14ac:dyDescent="0.5500000000000000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55000000000000004">
      <c r="A27" s="2">
        <f t="shared" ref="A27:X27" si="31">AVERAGE(A16:A25)</f>
        <v>16.304846705398916</v>
      </c>
      <c r="B27" s="2">
        <f t="shared" si="31"/>
        <v>17.125473080346865</v>
      </c>
      <c r="C27" s="2">
        <f t="shared" si="31"/>
        <v>16.440350128656792</v>
      </c>
      <c r="D27" s="2">
        <f t="shared" si="31"/>
        <v>17.149162989202214</v>
      </c>
      <c r="E27" s="2">
        <f t="shared" si="31"/>
        <v>16.270868642517641</v>
      </c>
      <c r="F27" s="2">
        <f t="shared" si="31"/>
        <v>15.684512614249959</v>
      </c>
      <c r="G27" s="2">
        <f t="shared" si="31"/>
        <v>18.164611726186006</v>
      </c>
      <c r="H27" s="2">
        <f t="shared" si="31"/>
        <v>14.848210386511434</v>
      </c>
      <c r="I27" s="2">
        <f t="shared" si="31"/>
        <v>15.336458069094466</v>
      </c>
      <c r="J27" s="2">
        <f t="shared" si="31"/>
        <v>16.866784446527411</v>
      </c>
      <c r="K27" s="2">
        <f t="shared" si="31"/>
        <v>16.022026721045414</v>
      </c>
      <c r="L27" s="2">
        <f t="shared" si="31"/>
        <v>20.500134306991072</v>
      </c>
      <c r="M27" s="2">
        <f t="shared" si="31"/>
        <v>19.152118532003552</v>
      </c>
      <c r="N27" s="2">
        <f t="shared" si="31"/>
        <v>16.578105297688442</v>
      </c>
      <c r="O27" s="2">
        <f t="shared" si="31"/>
        <v>19.153775763044965</v>
      </c>
      <c r="P27" s="2">
        <f t="shared" si="31"/>
        <v>19.588405814619897</v>
      </c>
      <c r="Q27" s="2">
        <f t="shared" si="31"/>
        <v>18.517284853195932</v>
      </c>
      <c r="R27" s="2">
        <f t="shared" si="31"/>
        <v>15.996667700969979</v>
      </c>
      <c r="S27" s="2">
        <f t="shared" si="31"/>
        <v>19.114693710952427</v>
      </c>
      <c r="T27" s="2">
        <f t="shared" si="31"/>
        <v>17.873654457787218</v>
      </c>
      <c r="U27" s="2">
        <f t="shared" si="31"/>
        <v>17.370900902490405</v>
      </c>
      <c r="V27" s="2">
        <f t="shared" si="31"/>
        <v>16.793529776348375</v>
      </c>
      <c r="W27" s="2">
        <f t="shared" si="31"/>
        <v>20.28923480877781</v>
      </c>
      <c r="X27" s="2">
        <f t="shared" si="31"/>
        <v>23.728835217796167</v>
      </c>
    </row>
    <row r="30" spans="1:24" x14ac:dyDescent="0.55000000000000004">
      <c r="B30" t="s">
        <v>18</v>
      </c>
      <c r="C30" s="2">
        <f>AVERAGE(A27:L27)</f>
        <v>16.726119984727351</v>
      </c>
    </row>
    <row r="31" spans="1:24" x14ac:dyDescent="0.55000000000000004">
      <c r="B31" t="s">
        <v>19</v>
      </c>
      <c r="C31" s="2">
        <f>AVERAGE(M27:X27)</f>
        <v>18.679767236306265</v>
      </c>
      <c r="N31" s="2"/>
    </row>
    <row r="32" spans="1:24" x14ac:dyDescent="0.55000000000000004">
      <c r="N32" s="2"/>
    </row>
    <row r="33" spans="14:14" x14ac:dyDescent="0.55000000000000004">
      <c r="N33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Jorge Pereira Corrêa</cp:lastModifiedBy>
  <cp:revision>6</cp:revision>
  <dcterms:created xsi:type="dcterms:W3CDTF">2025-04-04T13:38:16Z</dcterms:created>
  <dcterms:modified xsi:type="dcterms:W3CDTF">2025-10-28T12:49:07Z</dcterms:modified>
  <dc:language>pt-PT</dc:language>
</cp:coreProperties>
</file>